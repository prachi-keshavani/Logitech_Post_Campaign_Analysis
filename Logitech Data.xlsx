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WS Instagram" sheetId="1" r:id="rId4"/>
    <sheet state="visible" name="PWS TikTok" sheetId="2" r:id="rId5"/>
    <sheet state="visible" name="PWS Facebook" sheetId="3" r:id="rId6"/>
    <sheet state="visible" name="PWS LinkedIn" sheetId="4" r:id="rId7"/>
  </sheets>
  <definedNames/>
  <calcPr/>
</workbook>
</file>

<file path=xl/sharedStrings.xml><?xml version="1.0" encoding="utf-8"?>
<sst xmlns="http://schemas.openxmlformats.org/spreadsheetml/2006/main" count="1252" uniqueCount="623">
  <si>
    <t>Quarter</t>
  </si>
  <si>
    <t>Date</t>
  </si>
  <si>
    <t>Publish Date</t>
  </si>
  <si>
    <t>Post Date</t>
  </si>
  <si>
    <t>Post Time</t>
  </si>
  <si>
    <t>Post Type</t>
  </si>
  <si>
    <t>Collab</t>
  </si>
  <si>
    <t>Creator</t>
  </si>
  <si>
    <t>Serial Number</t>
  </si>
  <si>
    <t>Product</t>
  </si>
  <si>
    <t>Post</t>
  </si>
  <si>
    <t>Link</t>
  </si>
  <si>
    <t>Total Impressions</t>
  </si>
  <si>
    <t>Impressions</t>
  </si>
  <si>
    <t>Engagement</t>
  </si>
  <si>
    <t>Engagement Rate</t>
  </si>
  <si>
    <t>Likes</t>
  </si>
  <si>
    <t>Comments</t>
  </si>
  <si>
    <t>Shares</t>
  </si>
  <si>
    <t>Saves</t>
  </si>
  <si>
    <t>Video Views</t>
  </si>
  <si>
    <t>01/04/2024 5:02pm GMT</t>
  </si>
  <si>
    <t>Reels</t>
  </si>
  <si>
    <t>No</t>
  </si>
  <si>
    <t>Yes</t>
  </si>
  <si>
    <t>Pebble 2 Combo</t>
  </si>
  <si>
    <t>There may be more iconic duos than skates &amp; workspaces, but @hustlerani shows us that there aren’t more productive ones! 🛼⌨️ 📹 @hustlerani #Logitech #Pebble2Combo #keyboard #computermouse #workspace,</t>
  </si>
  <si>
    <t>https://www.instagram.com/reel/C1r5ygUpkLV/</t>
  </si>
  <si>
    <t>01/09/2024 5:00pm GMT</t>
  </si>
  <si>
    <t>Carousel</t>
  </si>
  <si>
    <t>Keyboard (general)</t>
  </si>
  <si>
    <t>2024 is the year of keeping our keyboards clean.,</t>
  </si>
  <si>
    <t>https://www.instagram.com/p/C14xoZuxIaj/</t>
  </si>
  <si>
    <t>01/10/2024 5:00pm GMT</t>
  </si>
  <si>
    <t>MX Keys S Combo</t>
  </si>
  <si>
    <t>No setup is complete without the MX Keys S Combo…and coffee, of course. #Logitech #MXKeysSCombo #newyearnewme #desksetup #coffee,</t>
  </si>
  <si>
    <t>https://www.instagram.com/reel/C17WNXfL7h5/</t>
  </si>
  <si>
    <t>01/12/2024 5:02pm GMT</t>
  </si>
  <si>
    <t>MX Keys Mini + MX Master 3S</t>
  </si>
  <si>
    <t>When your office is a mountain. Ft. @motionbrosnz’s MX Master 3S for Mac and MX Keys Mini for Mac ⛰️🌎 #LogitechForMac #MXKeysMini #MXMaster3S #desksetup #editing,</t>
  </si>
  <si>
    <t>https://www.instagram.com/reel/C2AgJxoxNKz/</t>
  </si>
  <si>
    <t>01/16/2024 9:00pm GMT</t>
  </si>
  <si>
    <t>Pebble 2 Mouse + Pebble 2 Keys</t>
  </si>
  <si>
    <t>style x productivity so good Dhriti Mehra can almost eat it. almost. 📹: @dhritimehra #Logitech #Pebble2Mouse #Pebble2Keys #keyboard #computermouse #design,</t>
  </si>
  <si>
    <t>https://www.instagram.com/reel/C2LOikNMwgt/</t>
  </si>
  <si>
    <t>01/18/2024 5:03pm GMT</t>
  </si>
  <si>
    <t>Just a cozy Pebble 2 mouse &amp; keys in @lineifrederiksen cozy office making the cozy vibes happen. Someone’s gotta do it! ☕🧦 #Logitech #Pebble2 #keyboard #computermouse #cozy #desksetup,</t>
  </si>
  <si>
    <t>https://www.instagram.com/reel/C2P89mkxmmt/</t>
  </si>
  <si>
    <t>01/23/2024 4:59pm GMT</t>
  </si>
  <si>
    <t>MX Keys S + MX Master 3S</t>
  </si>
  <si>
    <t>Unlimited power in every click? When you’re armed 💪 with Smart Actions in the Logi Options+ app you’re just one @dope.motions video away from becoming a productivity mastermind 🧠 #Logitech #MXKeysS #MXMaster3S #computermouse #productivity #graphicdesign #artist,</t>
  </si>
  <si>
    <t>https://www.instagram.com/reel/C2c0qLHxoRE/</t>
  </si>
  <si>
    <t>01/25/2024 5:01pm GMT</t>
  </si>
  <si>
    <t>Wave Keys + Lift Mouse</t>
  </si>
  <si>
    <t>Some quick, ergonomic upgrades to @niccyboy’s workspace courtesy of the #WaveKeys and #LiftMouse #Logitech #desksetup #keyboard,</t>
  </si>
  <si>
    <t>https://www.instagram.com/reel/C2h-UCTRsGh/</t>
  </si>
  <si>
    <t>01/26/2024 5:25pm GMT</t>
  </si>
  <si>
    <t>You fall asleep at your desk 😴 and wake up in one of these setups. Which one are you hoping for? 🤞 #Logitech #keyboard #desksetup #daydream,</t>
  </si>
  <si>
    <t>https://www.instagram.com/reel/C2klyvMxUBD/</t>
  </si>
  <si>
    <t>01/30/2024 8:00pm GMT</t>
  </si>
  <si>
    <t>Zone Learn Headphones</t>
  </si>
  <si>
    <t>the Zone Learn 🎧 built to withstand the classroom, and now ready to join your personal workspace at the link in our bio 📹: @craftaycorner,</t>
  </si>
  <si>
    <t>https://www.instagram.com/reel/C2vK6lAykZw/</t>
  </si>
  <si>
    <t>01/31/2024 8:01pm GMT</t>
  </si>
  <si>
    <t>Combo Touch + Logitech Crayon</t>
  </si>
  <si>
    <t>Grading as easy as A, B, C, 1, 2, 3 with the Combo Touch &amp; Crayon. #Logitech #ComboTouch #LogitechCrayon #teachersofig #grading,</t>
  </si>
  <si>
    <t>https://www.instagram.com/reel/C2xvw6WSr2B/</t>
  </si>
  <si>
    <t>02/02/2024 5:01pm GMT</t>
  </si>
  <si>
    <t>Pebble 2 + Brio 100 Webcam</t>
  </si>
  <si>
    <t>Just a zen, sand-green space tied together by a Pebble 2 &amp; Brio 100 🪴 📸: @thelazyinsomniac #Logitech #DefyBoring #desksetup #keyboard,</t>
  </si>
  <si>
    <t>https://www.instagram.com/p/C22k0VSxqc2/</t>
  </si>
  <si>
    <t>02/05/2024 5:00pm GMT</t>
  </si>
  <si>
    <t>Photo</t>
  </si>
  <si>
    <t>Blue Yeti Mic</t>
  </si>
  <si>
    <t>After last night’s Grammys we just had to drop this 🔥🔥🔥 setup courtesy of @jeyelfaro #Logitech #BlueYeti #musician #grammy,</t>
  </si>
  <si>
    <t>https://www.instagram.com/p/C2-TGNQxj6d/</t>
  </si>
  <si>
    <t>02/07/2024 5:00pm GMT</t>
  </si>
  <si>
    <t>Non-product (Puppy Bowl)</t>
  </si>
  <si>
    <t>Now that she’s retired from the Puppy Bowl, she has time for the important things like naps, treats, and more naps. #Logitech #PuppyBowl #dogsofinstagram,</t>
  </si>
  <si>
    <t>https://www.instagram.com/reel/C3DcsFbRsHz/</t>
  </si>
  <si>
    <t>02/08/2024 8:02pm GMT</t>
  </si>
  <si>
    <t>Wave Keys + Lift Vertical Mouse</t>
  </si>
  <si>
    <t>When @helena__lien shares tips for working more efficiently, helping relieve upper back &amp; neck tension, and staying comfortable during long hours at a desk, we listen up 👂📈 #Logitech #WaveKeys #LiftVertical #keyboard #computermouse #ergonomics,</t>
  </si>
  <si>
    <t>https://www.instagram.com/p/C3GWQddv0Sy/</t>
  </si>
  <si>
    <t>02/09/2024 5:01pm GMT</t>
  </si>
  <si>
    <t>Fashion 🎀 + Tech ⌨️ come together to help you express yourself at home and on the go in the Pebble 2 Combo. 📹: @theane_willemse #Logitech #DefyBoring #Pebble2 #pinkaesthetic,</t>
  </si>
  <si>
    <t>https://www.instagram.com/reel/C3ImPEJpYWA/</t>
  </si>
  <si>
    <t>02/12/2024 7:59pm GMT</t>
  </si>
  <si>
    <t>Non-product (Black History Month)</t>
  </si>
  <si>
    <t>One shared mission to inspire us all. For #BlackHistoryMonth, we’re featuring women whose STEM skills &amp; knowledge have helped support the Black community across the world. Read their full stories at the link in our bio! #WomenInSTEM #WomenWhoMaster #Logitech,</t>
  </si>
  <si>
    <t>https://www.instagram.com/p/C3QpMQOPMwl/</t>
  </si>
  <si>
    <t>02/14/2024 5:03pm GMT</t>
  </si>
  <si>
    <t>Non-product (Valentine’s Day)</t>
  </si>
  <si>
    <t>Send these to a Logi-buddy near and dear to your ❤️ #Logitech #valentine #valentinesday #ecard,</t>
  </si>
  <si>
    <t>https://www.instagram.com/p/C3VekwWJt3d/</t>
  </si>
  <si>
    <t>02/14/2024 8:06pm GMT</t>
  </si>
  <si>
    <t>Love is in the air…and on your desk 💕💝💘 📹: @joshtyrell #Logitech #valentinesday #love,</t>
  </si>
  <si>
    <t>https://www.instagram.com/reel/C3VzapovU7d/</t>
  </si>
  <si>
    <t>02/20/2024 8:01pm GMT</t>
  </si>
  <si>
    <t>Non-product (April Fools’)</t>
  </si>
  <si>
    <t>Taking a half day. We’ll be here the whole day, but only our left halves will be paying attention. #Logitech #halfday,</t>
  </si>
  <si>
    <t>https://www.instagram.com/reel/C3lPqE4Oeoo/</t>
  </si>
  <si>
    <t>02/23/2024 5:10pm GMT</t>
  </si>
  <si>
    <t>The Zone Learn is ready to take on more than the classroom! 🎤 Optimized for voice clarity to give you crisp, clear hearing and speech 🎧 Customizable over or on ear covers for maximum comfort 💪 Built to withstand the classroom, so they can withstand anything 📹: @dad_verb #Logitech #ZoneLearn #headphones,</t>
  </si>
  <si>
    <t>https://www.instagram.com/reel/C3sqXhYRV5Q/</t>
  </si>
  <si>
    <t>02/26/2024 4:30pm GMT</t>
  </si>
  <si>
    <t>Casa Pop-Up Desk</t>
  </si>
  <si>
    <t>The wait is almost over. 🌟✈️ Arriving to a new space, tomorrow.,The wait is almost</t>
  </si>
  <si>
    <t>https://www.instagram.com/p/C30UUxZxdYv/</t>
  </si>
  <si>
    <t>02/27/2024 2:00pm GMT</t>
  </si>
  <si>
    <t>🌟 It’s finally here! 🌟 Our Casa Pop-Up Desk has arrived in North America. 🇨🇦🇺🇸A new region, a new space, unfolded in an instant. Head to the link in our Bio to learn more. #CasaPopUpDesk #Logitech #MyWorkMyLifeMyHome,</t>
  </si>
  <si>
    <t>https://www.instagram.com/reel/C32n8pKPNDg/</t>
  </si>
  <si>
    <t>02/29/2024 5:30pm GMT</t>
  </si>
  <si>
    <t>🌟 Huge news! 🌟 We’re thrilled to announce that Casa Pop-Up Desk is now officially available in Canada and US.  The wait is over! Create your ideal workspace in a heartbeat. It’s your work, your life, your home – all in one perfect foldaway kit. Head to the link in our Bio to learn more. #CasaPopUpDesk #Logitech #MyWorkMyLifeMyHome,</t>
  </si>
  <si>
    <t>https://www.instagram.com/p/C38Jk6PP6WI/</t>
  </si>
  <si>
    <t>03/01/2024 5:01pm GMT</t>
  </si>
  <si>
    <t>MX Master Mouse</t>
  </si>
  <si>
    <t>The mouse &amp; keys of your dreams have their own dreams. They look like this. 📹: @jasonebeyer #Logitech #MXMaster #computermouse #animation #dreams,</t>
  </si>
  <si>
    <t>https://www.instagram.com/reel/C3-rAo4xLdz/</t>
  </si>
  <si>
    <t>03/04/2024 5:21pm GMT</t>
  </si>
  <si>
    <t>MX Brio Webcam</t>
  </si>
  <si>
    <t>The way the world sees you is about to change. Whether your audience is a stream of hundreds or a handful of coworkers, it’s time to show them the ultimate you.,</t>
  </si>
  <si>
    <t>https://www.instagram.com/reel/C4GbuQSRH9e/</t>
  </si>
  <si>
    <t>03/06/2024 2:00pm GMT</t>
  </si>
  <si>
    <t>🎉 See what you’re made of with the MX Brio, our new Ultra HD 4K Webcam 🎉        You’ve Mastered the work. Now Master how you share it. 📷😁 The MX Brio sets the stage with Ultra HD 4K, image customization with Fine Controls, and the ability to power through difficult lighting. Get all the details with the link in bio.    #MXBrio #LogiMX #Webcam,</t>
  </si>
  <si>
    <t>https://www.instagram.com/reel/C4LOXHUrEOq/</t>
  </si>
  <si>
    <t>03/07/2024 5:00pm GMT</t>
  </si>
  <si>
    <t>Lights, camera, Show Mode! Our MX Brio’s Show Mode empowers you to share your desk, ideas, and creativity - making it the perfect camera for all the light you shine. Shine on ✨ Learn more at the link in our bio.    Meet. Stream. Master.   #MXBrio #LogiMX #Webcam,</t>
  </si>
  <si>
    <t>https://www.instagram.com/reel/C4OHP13rt8n/</t>
  </si>
  <si>
    <t>03/11/2024 7:01pm GMT</t>
  </si>
  <si>
    <t>Signature M650 Combo</t>
  </si>
  <si>
    <t>If you ever find yourself in a productivity standoff, don’t forget your right-hand (or left-hand) mouse, the Signature M650 Combo.    #M650Combo #Logitech #officesnacks #coworkers #computermouse,</t>
  </si>
  <si>
    <t>https://www.instagram.com/reel/C4YosCRPs7d/</t>
  </si>
  <si>
    <t>03/11/2024 4:00pm GMT</t>
  </si>
  <si>
    <t>Experience our largest webcam sensor ever, creating unparalleled image quality even in low light. 🌥 Paired with a new lens design, you can bring your presence to a new level. LIB for more.    #MXBrio #LogiMX #Webcam,</t>
  </si>
  <si>
    <t>https://www.instagram.com/reel/C4YT9vEpjSk/</t>
  </si>
  <si>
    <t>03/12/2024 4:00pm GMT</t>
  </si>
  <si>
    <t>Pop Keys + Pop Mouse</t>
  </si>
  <si>
    <t>Every desk setup could use a purple Pop of color 💜🪻🍇🔮☂️   📹: @oenelle   #Logitech #PopKeys #PopMouse #purplevibes,</t>
  </si>
  <si>
    <t>https://www.instagram.com/reel/C4a4w6wrVW8/</t>
  </si>
  <si>
    <t>03/13/2024 5:36pm GMT</t>
  </si>
  <si>
    <t>Time to see what you’re made of – with a brand new lens design, crystal clear 4K, and the ability to adjust it all to fit your environment. MX Brio, our most powerful camera, has arrived.    #MXBrio #LogiMX #Webcam,</t>
  </si>
  <si>
    <t>https://www.instagram.com/reel/C4dohZ0RNKd/</t>
  </si>
  <si>
    <t>03/15/2024 4:00pm GMT</t>
  </si>
  <si>
    <t>Bringing the whole MX family together, with an all-in-one app experience. Introducing Fine Controls, a brand new feature in the Logi Options+ app that lets you tweak picture, audio, and more in real time. Tap the link in our bio to learn all about it.   #MXBrio #LogiMX #Webcam,</t>
  </si>
  <si>
    <t>https://www.instagram.com/reel/C4inRuevjPh/</t>
  </si>
  <si>
    <t>03/19/2024 4:00pm GMT</t>
  </si>
  <si>
    <t>Non-product (Women’s History Month)</t>
  </si>
  <si>
    <t>The future for women in STEM is bright! ☀️   For Women’s History Month, we’re celebrating our  wonderful Women Who Master! Read all their stories at the link in our bio!   #Logitech #WomenWhoMaster #WomenInSTEM #WomensHistoryMonth,</t>
  </si>
  <si>
    <t>https://www.instagram.com/p/C4s6XJRPA01/</t>
  </si>
  <si>
    <t>03/20/2024 4:00pm GMT</t>
  </si>
  <si>
    <t>MX Anywhere + MX Mini</t>
  </si>
  <si>
    <t>Spring is in the air! If you’re wearing a flower clip, spring is also in your hair ☀️🌻🐝    📸: @ idajapa   #Logitech #MXAnywhere #MXMini #spring,</t>
  </si>
  <si>
    <t>https://www.instagram.com/p/C4vfPvAve66/</t>
  </si>
  <si>
    <t>03/21/2024 4:00pm GMT</t>
  </si>
  <si>
    <t>Logitech Lift + Zone Vibe 100 + Blue Yeti</t>
  </si>
  <si>
    <t>It’s a Logitech in rose party, and you’re all invited!   📸: @susy_mora   #Logitech #LogitechLift #ZoneVibe100 #BlueYeti,</t>
  </si>
  <si>
    <t>https://www.instagram.com/p/C4yEBKbv4pi/</t>
  </si>
  <si>
    <t>03/22/2024 4:01pm GMT</t>
  </si>
  <si>
    <t>When the video concept is to make the video thumbnail 🤯   📹: @zacharystaines   #Logitech #MXMaster #computermouse #videoediting #mindblown,</t>
  </si>
  <si>
    <t>https://www.instagram.com/reel/C40oxlvr5U8/</t>
  </si>
  <si>
    <t>03/26/2024 1:00pm GMT</t>
  </si>
  <si>
    <t>Signature Slim Combo</t>
  </si>
  <si>
    <t>🪄A new method for finding balance in work and life. Coming tomorrow.,</t>
  </si>
  <si>
    <t>https://www.instagram.com/reel/C4-nXyDv0Iv/</t>
  </si>
  <si>
    <t>03/27/2024 1:00pm GMT</t>
  </si>
  <si>
    <t>Meet our new Signature Slim Combo 💫   A beautifully modern and simple solution to manage work, life, and everything in between. Unlock the magic to seamlessly move between computers and transition from work to leisure time with comfortable typing and shortcuts for work and home supported by Logi Options+. It’s designed to keep you moving through your day effortlessly.   Make it fun. Make it focused. Make it fast.   Head to our link in Bio to learn all about it,</t>
  </si>
  <si>
    <t>https://www.instagram.com/reel/C5BMMfFvHvt/</t>
  </si>
  <si>
    <t>03/28/2024 4:00pm GMT</t>
  </si>
  <si>
    <t>You heard it here first! The Casa Pop-Up Desk brings: 🧑‍🍳taste 💡practicality 🗂️organization   📹: @papernroses   #Logitech #CasaPopUpDesk #remotework #productivity #unboxing,</t>
  </si>
  <si>
    <t>https://www.instagram.com/reel/C5EFmMFrYN1/</t>
  </si>
  <si>
    <t>03/29/2024 6:59pm GMT</t>
  </si>
  <si>
    <t>When WFH becomes WFCS (work from coffee shop).   📹: @dhritimehra   #Logitech #Pebble2 #coffee #productivity #onthego,</t>
  </si>
  <si>
    <t>https://www.instagram.com/p/C5G-5K4PY00/</t>
  </si>
  <si>
    <t>03/29/2024 1:00pm GMT</t>
  </si>
  <si>
    <t>Say 👋 to our new Signature Slim Keyboard, the perfect companion to our Signature M650 Mouse.     Balance work and life at the desk with easy device switching, quiet typing, and customizable shortcuts. Compatible with what you use, connect to up to 3 devices at once.    Let’s make magic together. Tap the link in our bio to learn more.,</t>
  </si>
  <si>
    <t>https://www.instagram.com/reel/C5GVz4yPv7s/</t>
  </si>
  <si>
    <t>04/05/2024 2:00pm BST</t>
  </si>
  <si>
    <t>The tools that connect you should never be a barrier to how you make work-life magic. With Signature Slim Combo, use one keyboard and mouse to switch in an instant from your work computer to your own. Make text, images, and files effortlessly jump between computers - no matter the operating system. What magic will you make today? Tap the Link in Bio to learn more.,The tools that connect</t>
  </si>
  <si>
    <t>https://www.instagram.com/reel/C5YXS09tyEC/</t>
  </si>
  <si>
    <t>04/17/2024 5:45pm BST</t>
  </si>
  <si>
    <t>Logi AI Prompt Builder</t>
  </si>
  <si>
    <t>🚀 Introducing Logi AI Prompt Builder: Your gateway to fast, fluent, and fluid AI access, now available for free in Options+! Transform your Logitech keyboard and mouse into shortcuts to ChatGPT fluency and enhance and extend your productivity. Learn more with the link in Bio. #Logitech #LogiAIPromptBuilder,🚀 Introducing Logi AI</t>
  </si>
  <si>
    <t>https://www.instagram.com/reel/C53qnhUrhZC/</t>
  </si>
  <si>
    <t>04/18/2024 5:00pm BST</t>
  </si>
  <si>
    <t>✨Thrilled to share the big news 🚀 We launched a brand-new free tool. Logi AI Prompt Builder. The Logi AI Prompt Builder can be used with any of our mice and keyboards that support English languages in Logi Options+. Transform your Logitech keyboard and mouse into shortcuts to bring ChatGPT up in an instant. Link in bio for all the details. #Logitech #LogiAIPromptBuilder,✨Thrilled to share the</t>
  </si>
  <si>
    <t>https://www.instagram.com/p/C56KOhYt134/</t>
  </si>
  <si>
    <t>04/22/2024 10:01pm BST</t>
  </si>
  <si>
    <t>Sustainability Initiative (Next Life Materials)</t>
  </si>
  <si>
    <t>🌿🎧 This Earth Day, Logitech continues to leverage the power of design to spur innovation and scale progress by designing for sustainability. This has led to a significant increase in the integration of next life materials across our family of products, with two in three products now using Next Life recycled plastic. 🌟 Stay tuned as we continue to push the boundaries in design. We’re excited to see what the future holds for the adoption of new materials. It's all part of a process to care for our little blue planet. #EarthDay #DesignforSustainability #Logitech Head to the link in our Bio to learn more.,🌿🎧 This Earth Day,</t>
  </si>
  <si>
    <t>https://www.instagram.com/p/C6E_5t2Svw-/</t>
  </si>
  <si>
    <t>04/24/2024 5:32pm BST</t>
  </si>
  <si>
    <t>Andy’s go-to webcam is the Logitech MX Brio 4k resolution Integrated Privacy shutter  2x better resolution in low lighting Magnetic mount for more unique angles  Manual controls through the Logi Options + app Use code “ANDY10” for a discount! #LogitechMXBrio #MXBrio #Logitech #ad,</t>
  </si>
  <si>
    <t>https://www.instagram.com/reel/C6JqQT-xI3M/</t>
  </si>
  <si>
    <t>04/25/2024 3:16pm BST</t>
  </si>
  <si>
    <t>The Logitech MX Brio 4K Webcam is definitely the MOST ADVANCED webcam I’ve ever used so far! The AI autofocus is super fast, the video looks crisp and the colors look sooo good 🔥  Everyone that I’ve video called with is always surprised when I tell them that I’m just using a webcam! @logitech has certainly levelled up the game for video calls and remote collaboration with this release, check out the MX Brio 4K Webcam here: https://geni.us/MW-Logitech and SAVE 10% using code: MIKE10,</t>
  </si>
  <si>
    <t>https://www.instagram.com/reel/C6L-LDvLMeB/</t>
  </si>
  <si>
    <t>05/10/2024 3:02pm BST</t>
  </si>
  <si>
    <t>Combo Touch (iPad)</t>
  </si>
  <si>
    <t>Welcoming the NEW Combo Touch, compatible with the new iPad Pro and iPad Air. The perfect companion to take your new iPad further. Gives you ultimate versatility for working, creating and learning from anywhere. Tap the LIB for more. #ComboTouch #Logitech #iPadAir #iPadPro,Just in time for</t>
  </si>
  <si>
    <t>https://www.instagram.com/p/C6ymQaxtxIL/</t>
  </si>
  <si>
    <t>05/13/2024 3:02pm BST</t>
  </si>
  <si>
    <t>Meet the NEW Combo Touch. 🍏🚀Now available for the latest iPad Pro and iPad Air models. Seamlessly transition between tasks and achieve more from anywhere with ultimate versatility. #Logitech #iPadAir #iPadPro,✨ Meet the latest</t>
  </si>
  <si>
    <t>https://www.instagram.com/p/C66UopvNY77/</t>
  </si>
  <si>
    <t>05/15/2024 10:22pm BST</t>
  </si>
  <si>
    <t>For @highboyla, work and home life blend together seamlessly with the @logitech #PopUpDesk. This portable and ergonomic desk adapts to any space, making it easy to stay productive and comfortable. #CasaPopUpDesk #MyWorkMyLifeMyHome,</t>
  </si>
  <si>
    <t>https://www.instagram.com/reel/C7AQa-Wvdvo/</t>
  </si>
  <si>
    <t>05/16/2024 2:00pm BST</t>
  </si>
  <si>
    <t>Non-product (#WomenWhoMaster Campaign)</t>
  </si>
  <si>
    <t>Something exciting is in the works with our #WomenWhoMaster initiative and BBC StoryWorks. Watch our sneak peek and stay tuned for more. #Logitech #thehumancomponent,</t>
  </si>
  <si>
    <t>https://www.instagram.com/reel/C7B78zCNG9f/</t>
  </si>
  <si>
    <t>05/17/2024 4:03pm BST</t>
  </si>
  <si>
    <t>What are your must-haves for a great WFH day? For @emilywelchstyle, it’s her pink Casa Pop-Up desk and a strong French pressed coffee in her picturesque home. #CasaPopUpDesk #MyWorkMyLifeMyHome,</t>
  </si>
  <si>
    <t>https://www.instagram.com/reel/C7EunGog3xA/</t>
  </si>
  <si>
    <t>05/18/2024 3:37pm BST</t>
  </si>
  <si>
    <t>MX Master 3S</t>
  </si>
  <si>
    <t>Did you know the MX Master 3S is fully customizable in virtually every app you use with Logi Options+? @jessicaticchio works faster with customizations optimized for Adobe Photoshop and her favorite programs in this video.  #Logitech #LogiMX #AdobePhotoshop,</t>
  </si>
  <si>
    <t>https://www.instagram.com/reel/C7HQef3gmVY/</t>
  </si>
  <si>
    <t>05/22/2024 5:15pm BST</t>
  </si>
  <si>
    <t>Aisha Bowe is a trailblazer in #STEM. Her dedication to inspire knows no boundaries, reminding us that “the sky is not the limit, it’s only the start.” Follow the Logitech channel to hear more about her journey to Kenya and how she empowers the next generation. 🌟 #Logitech #WomenWhoMaster #TheHumanComponent,</t>
  </si>
  <si>
    <t>https://www.instagram.com/reel/C7Ru1t6vOFZ/</t>
  </si>
  <si>
    <t>05/23/2024 9:32pm BST</t>
  </si>
  <si>
    <t>Capture every angle with the MX Brio. What does your desk say about you? Share your workspace essentials with us in the comments. #MXBrio #LogiMX #Webcam,</t>
  </si>
  <si>
    <t>https://www.instagram.com/p/C7UxPmlvRiM/</t>
  </si>
  <si>
    <t>05/30/2024 6:00pm BST</t>
  </si>
  <si>
    <t>Wave Keys for Mac</t>
  </si>
  <si>
    <t>Just one more thing for today!  🌊 Say hello to Wave Keys for Mac. Made for you. Made for comfort. Learn more about the instantly familiar feel-good typing experience and the entire Designed for Mac lineup with the link in our bio. #Logitech #WaveKeysforMac,</t>
  </si>
  <si>
    <t>https://www.instagram.com/reel/C7majuDtHeo/</t>
  </si>
  <si>
    <t>05/30/2024 5:00pm BST</t>
  </si>
  <si>
    <t>MX Series for Mac (MX Anywhere 3S, MX Keys Mini)</t>
  </si>
  <si>
    <t>🍎✨ Introducing new additions to our Designed for Mac series! 🌿Bringing even more of the MX family into the lineup. Optimized for the Apple ecosystem. Built for performance, crafted for comfort, designed for sustainability. 💼 Head to the link in our Bio to learn more about our For Mac family. #Logitech #LogiForMac #MXForMac,</t>
  </si>
  <si>
    <t>https://www.instagram.com/reel/C7mTog_tBHX/</t>
  </si>
  <si>
    <t>05/31/2024 3:01pm BST</t>
  </si>
  <si>
    <t>MX Series for Mac (MX Keys Mini, MX Anywhere 3S)</t>
  </si>
  <si>
    <t>🍏Designed for Mac. Made for Performance. Welcoming new members of the MX series to the Apple ecosystem: our beloved MX Anywhere 3S and a brand-new MX Keys Mini in a perfectly matching Space Gray colorway. Meet the whole family and discover all the details with the link in our Bio. #LogiForMac #MXForMac #MXKeysMini #MXAnywhere3S,🍏Designed for Mac. Made</t>
  </si>
  <si>
    <t>https://www.instagram.com/reel/C7oqyD2Kf4W/</t>
  </si>
  <si>
    <t>06/07/2024 6:11pm BST</t>
  </si>
  <si>
    <t>From couch to Casa Pop-Up Desk, @reserve_home completely transformed her space into a haven of productivity. Whether you’re heads down in a spreadsheet or writing the next chapter of your novel, Casa’s got your back (and your laptop 😉) #CasaPopUpDesk #MyWorkMyLifeMyHome,</t>
  </si>
  <si>
    <t>https://www.instagram.com/reel/C77CAARA56F/</t>
  </si>
  <si>
    <t>06/12/2024 5:00pm BST</t>
  </si>
  <si>
    <t>M340 Mouse Collection</t>
  </si>
  <si>
    <t>Meet our new M340 Collection.🎨 Our fan-favorite mouse gets a refresh with a series of colorways inspired by playful, cute, and bold designs. Affordable, portable, and pocket-sized, elevate your aesthetic wherever you go.    Available in North America in seven unique designs. Tap the link in our bio for all the details! #LogiM340 #Logitech,</t>
  </si>
  <si>
    <t>https://www.instagram.com/reel/C8Hx9kzpHqd/</t>
  </si>
  <si>
    <t>06/14/2024 3:28pm BST</t>
  </si>
  <si>
    <t>MX Master 3S + MX Mechanical</t>
  </si>
  <si>
    <t>Relax and watch @jasonebeyer’s masterful workflow using the MX Master 3S and MX Mechanical. The MX Master 3S has been remastered and is great for long, comfortable working sessions because of its ergonomic silhouette and unique tilt angle to place the arm in a more natural position. #Logitech #productivity #3D #3Dart #graphicdesign #design,</t>
  </si>
  <si>
    <t>https://www.instagram.com/reel/C8Mw_N6A9SU/</t>
  </si>
  <si>
    <t>06/14/2024 12:01am BST</t>
  </si>
  <si>
    <t>From Kenya to the cosmos 🪐 Leddy is one of many girls we want to inspire to reach beyond the stars. Watch our #WomenWhoMaster unite from across the globe to help young girls envision their future #STEM careers. Full video at the link in bio.  #Logitech #TheHumanComponent,</t>
  </si>
  <si>
    <t>https://www.instagram.com/reel/C8LG5FhP5my/</t>
  </si>
  <si>
    <t>06/15/2024 3:31pm BST</t>
  </si>
  <si>
    <t>Logitech Crayon + Casa Pop-Up Desk + Combo Touch</t>
  </si>
  <si>
    <t>What would be in your ‘digital nomad’ starter pack? We’ll go first: a Crayon for sketching ideas, a Casa Pop-Up Desk so we could work anywhere, and a headset with noise cancellation to keep focused. Even if we’re only going from the kitchen table to sofa, we’re still nomads, right? #Logitech #LogitechCrayon #Productivity #ComboTouch,</t>
  </si>
  <si>
    <t>https://www.instagram.com/p/C8PWOgPAHCK/</t>
  </si>
  <si>
    <t>06/17/2024 3:13pm BST</t>
  </si>
  <si>
    <t>Is anyone else jealous of @shubhiiisingh’s work space aesthetic? The #Pebble2Combo adds a little pop of color (and lots of powerful, portable, productivity) to your day ✨ #DefyBoring #Productivity #Logitech,</t>
  </si>
  <si>
    <t>https://www.instagram.com/p/C8UdslSOven/</t>
  </si>
  <si>
    <t>06/18/2024 2:01pm BST</t>
  </si>
  <si>
    <t>Keys-To-Go 2</t>
  </si>
  <si>
    <t>Keys-To-Go 2 ⌨️🚀 | Our most portable keyboard ever. Freedom to do more from anywhere. ✅ Built in protective cover 🫶 ✅ Any screen. Multi OS. ✅ Ultra-slim ✅ Super lightweight ✅ 36 month battery life ✅ Connect with Bluetooth to up to 3 devices Available today in three colorways 👉 link in our bio for more! #KeysToGo2 #Logitech #GoAnywhere,Keys-To-Go 2 ⌨️🚀 |</t>
  </si>
  <si>
    <t>https://www.instagram.com/reel/C8W6MkwNfPe/</t>
  </si>
  <si>
    <t>06/20/2024 3:02pm BST</t>
  </si>
  <si>
    <t>Our ultra-portable powerhouse. Keys-To-Go 2. ✨⌨️Built with a 36-month battery life, crafted with at least 33% post-consumer recycled plastic and low carbon aluminum. Roam free and do so much more when on the go. Powerfully portable. Any screen. Multi-OS. Take a look with the link in our Bio. #KeysToGo2 #Logitech #GoAnywhere,Hello Keys-To-Go 2. 🚀⌨️</t>
  </si>
  <si>
    <t>https://www.instagram.com/p/C8cKy9bR_8l/</t>
  </si>
  <si>
    <t>06/21/2024 5:36pm BST</t>
  </si>
  <si>
    <t>MX Ink (Mixed Reality Stylus)</t>
  </si>
  <si>
    <t>Introducing Logitech MX Ink, the first mixed reality stylus for Meta Quest. With a focus on familiarity and precision, MX Ink bridges the gap between traditional tools and the immersive digital world to unleash creativity and drive productivity.  With haptic feedback and pressure sensitivity, it’s a perfect tool for your daily needs. Shipping Meta Connect 2024. 👉 Link in bio to learn more.,</t>
  </si>
  <si>
    <t>https://www.instagram.com/reel/C8fA4mtMCHJ/</t>
  </si>
  <si>
    <t>06/21/2024 4:45pm BST</t>
  </si>
  <si>
    <t>Choose your must-haves for a productive day ✨ We’ll go first: our’s has to be the Casa Pop-Up Desk right now. Summer’s right around the corner and we see some poolside work days in our future 🏊‍♀️ What’s yours? #Logitech #Productivity,</t>
  </si>
  <si>
    <t>Q2</t>
  </si>
  <si>
    <t>06/25/2024 4:40pm BST</t>
  </si>
  <si>
    <t>Pebble 2 Collection</t>
  </si>
  <si>
    <t>@punanyavirmani’s workspace essentials: #pebble2collection ⌨️ One hot cup of tea ☕ Tons of snacks 🍩 Trusty notebook 📒 What are your must-haves for a productive day? #DefyBoring #Logitech #Productivity,</t>
  </si>
  <si>
    <t>https://www.instagram.com/p/C8pN_KKAwcb/</t>
  </si>
  <si>
    <t>Account</t>
  </si>
  <si>
    <t>SL No</t>
  </si>
  <si>
    <t>View Rate</t>
  </si>
  <si>
    <t>logitech</t>
  </si>
  <si>
    <t>01/04/2024 5:03pm GMT</t>
  </si>
  <si>
    <t>the #Pebble2Combo makes for a fun workspace, but it’s even more fun when Ankita gets the 🛼 out! 📹 hustlerani (IG) #Logitech #keyboard #computermouse #workspace,</t>
  </si>
  <si>
    <t>https://www.tiktok.com/@logitech/video/7320289916196244779?utm_campaign=tt4d_open_api&amp;utm_source=6998599483726495745</t>
  </si>
  <si>
    <t>01/09/2024 7:59pm GMT</t>
  </si>
  <si>
    <t>Tips</t>
  </si>
  <si>
    <t>also clean your keyboard #Logitech #newyear #goodposture #remotework,</t>
  </si>
  <si>
    <t>https://www.tiktok.com/@logitech/video/7322190638164954414?utm_campaign=tt4d_open_api&amp;utm_source=6998599483726495745</t>
  </si>
  <si>
    <t>01/10/2024 5:03pm GMT</t>
  </si>
  <si>
    <t>new year, new desk, same coffee ☕☕☕ #Logitech #MXKeysSCombo #newyearnewme #desksetup #coffee,</t>
  </si>
  <si>
    <t>https://www.tiktok.com/@logitech/video/7322516179829034286?utm_campaign=tt4d_open_api&amp;utm_source=6998599483726495745</t>
  </si>
  <si>
    <t>01/11/2024 5:05pm GMT</t>
  </si>
  <si>
    <t>keyboard review but make it 🤫🤫🤫 #Logitech #keyboard #silentreview,</t>
  </si>
  <si>
    <t>https://www.tiktok.com/@logitech/video/7322887997475556651?utm_campaign=tt4d_open_api&amp;utm_source=6998599483726495745</t>
  </si>
  <si>
    <t>01/12/2024 5:01pm GMT</t>
  </si>
  <si>
    <t>when your office is a mountain ft. @motionbrosnz ⛰️🌎 #LogitechForMac #MXKeysMini #MXMaster3S #desksetup #editing,</t>
  </si>
  <si>
    <t>https://www.tiktok.com/@logitech/video/7323257940431932718?utm_campaign=tt4d_open_api&amp;utm_source=6998599483726495745</t>
  </si>
  <si>
    <t>01/16/2024 8:57pm GMT</t>
  </si>
  <si>
    <t>style x productivity so good @dhritimehraacan almost eat it. almost. #Logitech#Pebble2Mouse #Pebble2Keys#keyboard#computermouse#design,</t>
  </si>
  <si>
    <t>https://www.tiktok.com/@logitech/video/7324803192511008046?utm_campaign=tt4d_open_api&amp;utm_source=6998599483726495745</t>
  </si>
  <si>
    <t>01/18/2024 5:01pm GMT</t>
  </si>
  <si>
    <t>just a cozy Pebble 2 mouse &amp; keys doing cozy things with Line I. Frederiksen ☕🧦 📹: lineifrederiksen (IG) #Logitech #Pebble2 #keyboard #computermouse #cozy #desksetup,</t>
  </si>
  <si>
    <t>https://www.tiktok.com/@logitech/video/7325484429844172078?utm_campaign=tt4d_open_api&amp;utm_source=6998599483726495745</t>
  </si>
  <si>
    <t>01/19/2024 8:59pm GMT</t>
  </si>
  <si>
    <t>MX Anywhere 3S</t>
  </si>
  <si>
    <t>when will science make lactaid for computer mice? #Logitech #MXAnywhere3S #sadsharkfacts #computermouse,</t>
  </si>
  <si>
    <t>https://www.tiktok.com/@logitech/video/7325916773294017838?utm_campaign=tt4d_open_api&amp;utm_source=6998599483726495745</t>
  </si>
  <si>
    <t>01/22/2024 6:07pm GMT</t>
  </si>
  <si>
    <t>(general)</t>
  </si>
  <si>
    <t>wirelesslie coming to a preschool near you by 2027! #Logitech #webcam #keyboard #computermouse #babynames,</t>
  </si>
  <si>
    <t>https://www.tiktok.com/@logitech/video/7326985723838745902?utm_campaign=tt4d_open_api&amp;utm_source=6998599483726495745</t>
  </si>
  <si>
    <t>01/23/2024 5:00pm GMT</t>
  </si>
  <si>
    <t>Logitech Smart Actions 🤯 my mind! find em in the Logi Options+ app 📹: dope.motions (IG) #Logitech #MXKeysS #MXMaster3S #computermouse #productivity #graphicdesign #artist,</t>
  </si>
  <si>
    <t>https://www.tiktok.com/@logitech/video/7327339551423384878?utm_campaign=tt4d_open_api&amp;utm_source=6998599483726495745</t>
  </si>
  <si>
    <t>01/25/2024 4:59pm GMT</t>
  </si>
  <si>
    <t>let’s install a few ergonomic upgrades 📹: niccyboy (IG) #Logitech #WaveKeys #LiftMouse #keyboard #desksetup,</t>
  </si>
  <si>
    <t>https://www.tiktok.com/@logitech/video/7328081577798470958?utm_campaign=tt4d_open_api&amp;utm_source=6998599483726495745</t>
  </si>
  <si>
    <t>01/26/2024 5:26pm GMT</t>
  </si>
  <si>
    <t>pick a fave &amp; tell us #Logitech #keyboard #desksetup #daydream,</t>
  </si>
  <si>
    <t>https://www.tiktok.com/@logitech/video/7328459753720499498?utm_campaign=tt4d_open_api&amp;utm_source=6998599483726495745</t>
  </si>
  <si>
    <t>01/27/2024 5:04pm GMT</t>
  </si>
  <si>
    <t>a quintessential pookie setup #pookie #ipad #ComboTouch,</t>
  </si>
  <si>
    <t>https://www.tiktok.com/@logitech/video/7328824978403527979?utm_campaign=tt4d_open_api&amp;utm_source=6998599483726495745</t>
  </si>
  <si>
    <t>01/31/2024 8:13pm GMT</t>
  </si>
  <si>
    <t>keep it 💯with the Combo Touch &amp; Crayon #Logitech #ComboTouch #LogitechCrayon #teachersoftiktok #grading,</t>
  </si>
  <si>
    <t>https://www.tiktok.com/@logitech/video/7330358089348058414?utm_campaign=tt4d_open_api&amp;utm_source=6998599483726495745</t>
  </si>
  <si>
    <t>02/07/2024 4:59pm GMT</t>
  </si>
  <si>
    <t>barking hard or hardly barking? #Logitech #PuppyBowl #dogsoftiktok,</t>
  </si>
  <si>
    <t>https://www.tiktok.com/@logitech/video/7332905789587311918?utm_campaign=tt4d_open_api&amp;utm_source=6998599483726495745</t>
  </si>
  <si>
    <t>02/08/2024 8:03pm GMT</t>
  </si>
  <si>
    <t>when Helena shares tips for working more comfortably, we listen up 👂📈 📸: helena__lien (IG) #Logitech #WaveKeys #LiftVertical #keyboard #computermouse #ergonomics,</t>
  </si>
  <si>
    <t>https://www.tiktok.com/@logitech/video/7333324122077924650?utm_campaign=tt4d_open_api&amp;utm_source=6998599483726495745</t>
  </si>
  <si>
    <t>02/09/2024 4:59pm GMT</t>
  </si>
  <si>
    <t>all this 🎀💝🌸 has us thinking about valentine’s day 🤔💭 📹: @Theane Willemse #Logitech #DefyBoring #Pebble2 #pinkaesthetic,</t>
  </si>
  <si>
    <t>https://www.tiktok.com/@logitech/video/7333647724497177898?utm_campaign=tt4d_open_api&amp;utm_source=6998599483726495745</t>
  </si>
  <si>
    <t>02/14/2024 8:08pm GMT</t>
  </si>
  <si>
    <t>we 💞 u this much 📹: @JOSHUA #Logitech #valentinesday #love,</t>
  </si>
  <si>
    <t>https://www.tiktok.com/@logitech/video/7335552006477696299?utm_campaign=tt4d_open_api&amp;utm_source=6998599483726495745</t>
  </si>
  <si>
    <t>02/14/2024 5:10pm GMT</t>
  </si>
  <si>
    <t>ur all our valentines 😘 #Logitech #valentine #valentinesday #ecard,</t>
  </si>
  <si>
    <t>https://www.tiktok.com/@logitech/video/7335506013669379370?utm_campaign=tt4d_open_api&amp;utm_source=6998599483726495745</t>
  </si>
  <si>
    <t>02/20/2024 8:04pm GMT</t>
  </si>
  <si>
    <t>i th nk i li e thi itt e l fe #Logitech #halfday,</t>
  </si>
  <si>
    <t>https://www.tiktok.com/@logitech/video/7337777437062860063?utm_campaign=tt4d_open_api&amp;utm_source=6998599483726495745</t>
  </si>
  <si>
    <t>02/22/2024 5:15pm GMT</t>
  </si>
  <si>
    <t>MX Brio</t>
  </si>
  <si>
    <t>elite employees always have HD webcams #Logitech #Brio #webcams #employee,</t>
  </si>
  <si>
    <t>https://www.tiktok.com/@logitech/video/7338476189180251438?utm_campaign=tt4d_open_api&amp;utm_source=6998599483726495745</t>
  </si>
  <si>
    <t>03/01/2024 8:01pm GMT</t>
  </si>
  <si>
    <t>the office girlies who Logi together slay together 💅 📹: aardenee on TT,</t>
  </si>
  <si>
    <t>https://www.tiktok.com/@logitech/video/7341487562608921898?utm_campaign=tt4d_open_api&amp;utm_source=6998599483726495745</t>
  </si>
  <si>
    <t>03/01/2024 5:00pm GMT</t>
  </si>
  <si>
    <t>float through an MX dream with us 📹: @Jason Ebeyer #Logitech #MXMaster #computermouse #animation #dreams,</t>
  </si>
  <si>
    <t>https://www.tiktok.com/@logitech/video/7341440842390834475?utm_campaign=tt4d_open_api&amp;utm_source=6998599483726495745</t>
  </si>
  <si>
    <t>03/08/2024 8:01pm GMT</t>
  </si>
  <si>
    <t>im sat for the casa   #Logitech #CasaPopUp #imsat,</t>
  </si>
  <si>
    <t>https://www.tiktok.com/@logitech/video/7344084933817797931?utm_campaign=tt4d_open_api&amp;utm_source=6998599483726495745</t>
  </si>
  <si>
    <t>03/11/2024 7:00pm GMT</t>
  </si>
  <si>
    <t>left-handed or right-handed, there’s a Signature M650 Combo for you… and those coworkers who want the last cookie.   #M650Combo #Logitech #officesnacks #coworkers #computermouse,</t>
  </si>
  <si>
    <t>https://www.tiktok.com/@logitech/video/7345182631337790763?utm_campaign=tt4d_open_api&amp;utm_source=6998599483726495745</t>
  </si>
  <si>
    <t>03/12/2024 3:59pm GMT</t>
  </si>
  <si>
    <t>a purple Pop of color 💜   📹: @Oenelle   #Logitech #PopKeys #PopMouse #purplevibes,</t>
  </si>
  <si>
    <t>https://www.tiktok.com/@logitech/video/7345507027755617579?utm_campaign=tt4d_open_api&amp;utm_source=6998599483726495745</t>
  </si>
  <si>
    <t>03/15/2024 4:01pm GMT</t>
  </si>
  <si>
    <t>work besties who jump on an early call together are tired all day together   #Logitech #MXBrio #workfriends,</t>
  </si>
  <si>
    <t>https://www.tiktok.com/@logitech/video/7346620844669406506?utm_campaign=tt4d_open_api&amp;utm_source=6998599483726495745</t>
  </si>
  <si>
    <t>03/22/2024 3:59pm GMT</t>
  </si>
  <si>
    <t>Zachary thumb-nailed it   📹: @Zachary Staines   #Logitech #MXMaster #computermouse #videoediting #mindblown,</t>
  </si>
  <si>
    <t>https://www.tiktok.com/@logitech/video/7349217975091875118?utm_campaign=tt4d_open_api&amp;utm_source=6998599483726495745</t>
  </si>
  <si>
    <t>03/25/2024 7:33pm GMT</t>
  </si>
  <si>
    <t>kitchen ➡️workspace just like that   #Logitech #CasaPopUpDesk #remotework #wfh,</t>
  </si>
  <si>
    <t>https://www.tiktok.com/@logitech/video/7350386400954420522?utm_campaign=tt4d_open_api&amp;utm_source=6998599483726495745</t>
  </si>
  <si>
    <t>03/26/2024 6:59pm GMT</t>
  </si>
  <si>
    <t>Wave Keys</t>
  </si>
  <si>
    <t>seriously, we have to know   #Logitech #WaveKeys #keyboards #ergonomics,</t>
  </si>
  <si>
    <t>https://www.tiktok.com/@logitech/video/7350748764128234795?utm_campaign=tt4d_open_api&amp;utm_source=6998599483726495745</t>
  </si>
  <si>
    <t>optimize your workflow and look good doing it!   📹: @Chantal 🌹 PaperNRoses   #Logitech #CasaPopUpDesk #remotework #productivity #unboxing,</t>
  </si>
  <si>
    <t>https://www.tiktok.com/@logitech/video/7351444606246014250?utm_campaign=tt4d_open_api&amp;utm_source=6998599483726495745</t>
  </si>
  <si>
    <t>03/28/2024 6:59pm GMT</t>
  </si>
  <si>
    <t>Our Casa is your Casa…if you order one!    #Logitech #CasaPopUpDesk #unboxing,</t>
  </si>
  <si>
    <t>https://www.tiktok.com/@logitech/video/7351490846841146667?utm_campaign=tt4d_open_api&amp;utm_source=6998599483726495745</t>
  </si>
  <si>
    <t>03/29/2024 7:00pm GMT</t>
  </si>
  <si>
    <t>brew up some productivity   📹: dhritimerha (IG)   #Logitech #Pebble2 #coffee #productivity #onthego,</t>
  </si>
  <si>
    <t>https://www.tiktok.com/@logitech/video/7351862184328170794?utm_campaign=tt4d_open_api&amp;utm_source=6998599483726495745</t>
  </si>
  <si>
    <t>05/15/2024 10:25pm BST</t>
  </si>
  <si>
    <t>For @Highboy LA | Katie + Cody, work and home life blend together seamlessly with the @logitech #PopUpDesk. This portable and ergonomic desk adapts to any space, making it easy to stay productive and comfortable. #CasaPopUpDesk #MyWorkMyLifeMyHome,</t>
  </si>
  <si>
    <t>https://www.tiktok.com/@logitech/video/7369340586538700075?utm_campaign=tt4d_open_api&amp;utm_source=6998599483726495745</t>
  </si>
  <si>
    <t>05/18/2024 3:42pm BST</t>
  </si>
  <si>
    <t>Did you know the MX Master 3S is fully customizable in virtually every app you use with Logi Options+? Jessica Ticchio works faster with customizations optimized for Adobe Photoshop and her favorite programs in this video.  #Logitech #LogiMX #AdobePhotoshop,</t>
  </si>
  <si>
    <t>https://www.tiktok.com/@logitech/video/7370349970882432299?utm_campaign=tt4d_open_api&amp;utm_source=6998599483726495745</t>
  </si>
  <si>
    <t>06/07/2024 8:24pm BST</t>
  </si>
  <si>
    <t>Casa Pop-Up Desk is a close second 😌 #Logitech #Productivity,</t>
  </si>
  <si>
    <t>https://www.tiktok.com/@logitech/video/7377844394193472810?utm_campaign=tt4d_open_api&amp;utm_source=6998599483726495745</t>
  </si>
  <si>
    <t>06/12/2024 5:15pm BST</t>
  </si>
  <si>
    <t>Meet our new M340 Collection. 😍🎨 Our fan-favorite mouse gets a refresh with a series of #colorways inspired by playful, cute, and bold designs. Affordable, portable, and pocket-sized, elevate your aesthetic wherever you go.    Available in North America in seven unique designs. #LogiM340 #logitech,</t>
  </si>
  <si>
    <t>https://www.tiktok.com/@logitech/video/7379651104440634666?utm_campaign=tt4d_open_api&amp;utm_source=6998599483726495745</t>
  </si>
  <si>
    <t>06/16/2024 3:07pm BST</t>
  </si>
  <si>
    <t>Dad jokes on #FathersDay &gt;&gt;&gt; #DadJokes #Logitech,</t>
  </si>
  <si>
    <t>https://www.tiktok.com/@logitech/video/7381102520753605934?utm_campaign=tt4d_open_api&amp;utm_source=6998599483726495745</t>
  </si>
  <si>
    <t>06/27/2024 4:42pm BST</t>
  </si>
  <si>
    <t>These fortunes keep getting more and more accurate 😮‍💨 #productivity #manifestation #logitech #fortunecookie,</t>
  </si>
  <si>
    <t>https://www.tiktok.com/@logitech/video/7385208899378482475?utm_campaign=tt4d_open_api&amp;utm_source=6998599483726495745</t>
  </si>
  <si>
    <t>SL Number</t>
  </si>
  <si>
    <t>Organic Impressions</t>
  </si>
  <si>
    <t>Reactions</t>
  </si>
  <si>
    <t>Video Plays</t>
  </si>
  <si>
    <t>https://www.facebook.com/653982650108774/posts/806257634881274</t>
  </si>
  <si>
    <t>🌟 It’s official! 🌟 Casa Pop-Up Desk has landed in North America, available today! 🇨🇦🇺🇸 Our all-in-one fold away desk kit perfectly tuned to your life. Transition seamlessly from work mode to home mode, in an instant. 🏡👩‍💻 Tap the link to discover all the details: https://bit.ly/49PhZAx,🌟 It’s official! 🌟</t>
  </si>
  <si>
    <t>https://www.facebook.com/video.php?v=909524867847142</t>
  </si>
  <si>
    <t>🌟 We're thrilled to share the big news, Casa Pop-Up Desk is now officially available in North America! 🇨🇦🇺🇸 The wait is finally over 🎉 Create your ideal space for work, life, and home. Learn more with the link below. https://bit.ly/3SUfkih,🌟 We're thrilled to</t>
  </si>
  <si>
    <t>https://www.facebook.com/653982650108774/posts/808019231371781</t>
  </si>
  <si>
    <t>03/05/2024 10:34pm GMT</t>
  </si>
  <si>
    <t>The way the world sees you is about to change. Whether your audience is a stream of hundreds or a handful of coworkers, it’s time to show them the ultimate you.,The way the world</t>
  </si>
  <si>
    <t>https://www.facebook.com/video.php?v=1476498189877230</t>
  </si>
  <si>
    <t>03/06/2024 2:01pm GMT</t>
  </si>
  <si>
    <t>🎉The MX Brio is here 📷 🌞 4k quality with 2x finer image details for crisp, clear visuals 🪟 Show Mode to keep the important content in view 🛠️ MX ecosystem, so you can customize it just for you Tap the link for all the details: https://bit.ly/3TiY7At,🎉The MX Brio is</t>
  </si>
  <si>
    <t>https://www.facebook.com/video.php?v=402334985858274</t>
  </si>
  <si>
    <t>Lights, camera, action – and now, Show Mode! ✨ Our fav feature 💡💻 With MX Brio, it's not just about being seen – it's about sharing your workspace, ideas, and creativity with the world. Show Mode empowers you to seamlessly integrate your desk into your calls, streams, and presentations. Go on, share that light you shine. Meet. Stream. Master. Learn more here: https://bit.ly/3TiY7At,Lights, camera, action –</t>
  </si>
  <si>
    <t>https://www.facebook.com/video.php?v=1838799003238734</t>
  </si>
  <si>
    <t>With MX Brio, let your presence ✨ shine bright ✨ no matter the environment. 🌥 Experience our largest webcam sensor ever, designed to deliver unparalleled image quality, even in low light conditions. Tap the link to learn more. https://bit.ly/3TiY7At,With MX Brio, let</t>
  </si>
  <si>
    <t>https://www.facebook.com/video.php?v=3652977288275174</t>
  </si>
  <si>
    <t>03/13/2024 7:00pm GMT</t>
  </si>
  <si>
    <t>🌟 Hello MX Brio – our most powerful camera yet! 🌟 Seize a moment and show the world what you're made of. Elevate your content with 2x performance in low light. No matter the environment, we want you to shine your brightest. We can’t wait to see what you create ✨ https://bit.ly/3TiY7At,🌟 Hello MX Brio</t>
  </si>
  <si>
    <t>https://www.facebook.com/video.php?v=318994337463175</t>
  </si>
  <si>
    <t>🪄A new method for finding balance in work and life. Coming tomorrow.,🪄A new method for</t>
  </si>
  <si>
    <t>https://www.facebook.com/video.php?v=944675100607127</t>
  </si>
  <si>
    <t>Introducing our new Signature Slim Combo! ✨ Seamlessly manage your personal and professional lives by moving between computers and optimizing daily tasks with shortcuts for work and home. Make your day fun, focused, and fast – it just works. Head to our homepage to learn more: https://logi.link/rtgfcf,Introducing our new Signature</t>
  </si>
  <si>
    <t>https://www.facebook.com/video.php?v=453566840428626</t>
  </si>
  <si>
    <t>03/28/2024 9:30pm GMT</t>
  </si>
  <si>
    <t>Let your creativity soar this National Craft Month with the Logitech Reach! 🚀 🤩 Seamlessly switch between tabletop and presenter modes to showcase your projects in stunning detail. 🫶 Inspire fellow crafters with crystal-clear visuals and immersive demonstrations. #NationalCraftMonth #Crafting #DIYProjects #Logitech,Let your creativity soar</t>
  </si>
  <si>
    <t>https://www.facebook.com/653982650108774/posts/825950792911958</t>
  </si>
  <si>
    <t>Logitech Reach</t>
  </si>
  <si>
    <t>03/29/2024 9:00pm GMT</t>
  </si>
  <si>
    <t>Let’s make magic together with our new Signature Slim Keyboard, the perfect companion to our Signature M650 Mouse. Easy device switching, quiet typing, and customizable shortcuts makes managing work and life at the desk a breeze. Compatible with what you use, connect up to 3 devices at once. Head to our homepage to make work-life magic: https://bit.ly/4cmzw5b,Let’s make magic together</t>
  </si>
  <si>
    <t>https://www.facebook.com/video.php?v=1513113059268395</t>
  </si>
  <si>
    <t>04/02/2024 4:00pm BST</t>
  </si>
  <si>
    <t>Time to move around! ✨ Introducing the Zone 300. The essential Wireless Headset for clear conversations and the freedom to move.,Time to move around!</t>
  </si>
  <si>
    <t>https://www.facebook.com/video.php?v=1216865485959028</t>
  </si>
  <si>
    <t>Zone 300 Wireless Headset</t>
  </si>
  <si>
    <t>Simplify your blended world with our Signature Slim Combo. Whether you're transitioning from work to home mode, use one mouse and keyboard to seamlessly switch between your work laptop and personal computer. Now bring the magic. Learn more about creating your own work-life magic on our homepage below. https://logi.link/rtgfcf,Simplify your blended world</t>
  </si>
  <si>
    <t>https://www.facebook.com/video.php?v=1682226012183739</t>
  </si>
  <si>
    <t>04/16/2024 3:00pm BST</t>
  </si>
  <si>
    <t>Check out the kid-friendly accessories for iPad in the Logitech for Kids collection, a site of products designed for kids to spark potential. Let your kids learn, create and play! https://bit.ly/4a0vhe3,Check out the kid-friendly</t>
  </si>
  <si>
    <t>https://www.facebook.com/653982650108774/posts/838036725036698</t>
  </si>
  <si>
    <t>Logitech for Kids Collection</t>
  </si>
  <si>
    <t>04/17/2024 4:49pm BST</t>
  </si>
  <si>
    <t>🚀 Introducing Logi AI Prompt Builder: Your gateway to fast, fluent, and fluid AI access, now available for free in Options+! Transform your Logitech keyboard and mouse into shortcuts to ChatGPT fluency and enhance and extend your productivity. Learn more: http://logi.link/rfp3in #Logitech #LogiAIPromptBuilder,🚀 Introducing Logi AI</t>
  </si>
  <si>
    <t>https://www.facebook.com/video.php?v=1333939247281194</t>
  </si>
  <si>
    <t>04/18/2024 1:00pm BST</t>
  </si>
  <si>
    <t>✨ Thrilled to share the big news 🚀 We launched a brand-new free tool. Logi AI Prompt Builder. The Logi AI Prompt Builder can be used with any of our mice and keyboards that support English languages in Logi Options+. Transform your Logitech keyboard and mouse into shortcuts to bring ChatGPT up in an instant. Tap the link to discover more. https://logi.link/94o6ef #Logitech #LogiAIPromptBuilder,✨ Thrilled to share</t>
  </si>
  <si>
    <t>https://www.facebook.com/653982650108774/posts/839474991559538</t>
  </si>
  <si>
    <t>04/22/2024 10:00pm BST</t>
  </si>
  <si>
    <t>🌿🎧 This Earth Day, Logitech continues to leverage the power of design to spur innovation and scale progress by designing for sustainability. This has led to a significant increase in the integration of next life materials across our family of products, with two in three products now using Next Life recycled plastic. 🌟 Stay tuned as we continue to push the boundaries in design. We’re excited to see what the future holds for the adoption of new materials. It's all part of a process to care for our little blue planet. #EarthDay #DesignforSustainability #Logitech See here to learn more: https://logi.link/EarthDay24,🌿🎧 This Earth Day,</t>
  </si>
  <si>
    <t>https://www.facebook.com/653982650108774/posts/842720644568306</t>
  </si>
  <si>
    <t>Sustainability Initiative</t>
  </si>
  <si>
    <t>05/10/2024 3:01pm BST</t>
  </si>
  <si>
    <t>Just in time for the new iPad launch! 🍏🚀Combo Touch is now available for the latest in the iPad Pro and iPad Air series. Bringing ultimate versatility to anywhere you work, create, and learn. Head to the link below to discover more. https://logi.link/i2z181 #ComboTouch #Logitech #iPadAir #iPadPro,Just in time for</t>
  </si>
  <si>
    <t>https://www.facebook.com/653982650108774/posts/854933113347059</t>
  </si>
  <si>
    <t>Combo Touch for iPad Pro/Air</t>
  </si>
  <si>
    <t>🍎🚀 We're thrilled to introduce Combo Touch - a versatile companion for your new iPad Pro or iPad Air. Our thinnest and lightest keyboard case in a secure, form-fit design. Head to our home page below to learn all about it. https://logi.link/i2z181 #ComboTouch #Logitech #iPadAir #iPadPro,✨ Meet the latest</t>
  </si>
  <si>
    <t>https://www.facebook.com/653982650108774/posts/856914706482233</t>
  </si>
  <si>
    <t>05/30/2024 6:02pm BST</t>
  </si>
  <si>
    <t>🌊 Say hello to the newest addition in our Designed for Mac lineup: Wave Keys for Mac! Crafted for comfort. Made for you. Optimized for macOS. Discover more about this keyboard and our entire Designed for Mac series through the link below. https://logi.link/ck3dgt,🌊 Say hello to</t>
  </si>
  <si>
    <t>https://www.facebook.com/video.php?v=314160441734347</t>
  </si>
  <si>
    <t>05/30/2024 5:03pm BST</t>
  </si>
  <si>
    <t>🍎 Help us welcome a few new MX additions to our Designed for Mac series! From the MX Master 3S for Mac to the MX Keys S for Mac, we're bringing you the ultimate tools for productivity, sustainability, and comfort. Learn more here: https://logi.link/ck3dgt #Logitech #LogiForMac #MXForMac #MXKeysS #MXMaster3S,🍎 Help us welcome</t>
  </si>
  <si>
    <t>https://www.facebook.com/video.php?v=421589114171101</t>
  </si>
  <si>
    <t>MX Series for Mac (MX Master 3S, MX Keys S)</t>
  </si>
  <si>
    <t>05/31/2024 3:02pm BST</t>
  </si>
  <si>
    <t>🍏Our for Mac series has grown! Help us welcome some of the MX family to the Apple ecosystem. Seamlessly compatible with your Apple devices, designed for sustainability, and crafted for comfort. 🌱 Discover the MX Keys Mini and MX Anywhere 3S for Mac for a fluid experience and enhancing what you bring every day. Discover all the details here: https://logi.link/ck3dgt #Logitech #LogiForMac #MXForMac #MXKeysMini #MXAnywhere3S,🍏Our for Mac series</t>
  </si>
  <si>
    <t>https://www.facebook.com/video.php?v=860990715862834</t>
  </si>
  <si>
    <t>From Kenya to the cosmos 🪐 Leddy is one of many girls we want to inspire to reach beyond the stars. Watch our #WomenWhoMaster unite from across the globe to help young girls envision their future #STEM careers. Watch the full video here: logi.link/4xsvcf #Logitech #TheHumanComponent,From Kenya to the</t>
  </si>
  <si>
    <t>https://www.facebook.com/video.php?v=340186605581365</t>
  </si>
  <si>
    <t>#WomenWhoMaster Campaign</t>
  </si>
  <si>
    <t>🚀 Our most portable keyboard ever. Meet Keys-To-Go 2. The ultra-slim keyboard. Built to last with a 36-month battery life, protective cover, all supported via Bluetooth for Multi-OS connectivity. Roam free and do more when on the go. Powerfully portable. Any screen. Any OS. Discover more: https://logi.link/wou6n5 #KeysToGo2 #Logitech #GoAnywhere,🚀 Our most portable</t>
  </si>
  <si>
    <t>https://www.facebook.com/video.php?v=372569505839453</t>
  </si>
  <si>
    <t>06/20/2024 3:01pm BST</t>
  </si>
  <si>
    <t>Keys-To-Go 2 | The ultimate expression of portability. Flip open the built-in cover and bring your work, study, and creativity to life. Absolutely anywhere. Available now in three colorways with a 36-month battery, that can connect across any screen, Multi-OS. Head here to learn all about it: https://logi.link/wou6n5 #KeysToGo2 #Logitech #GoAnywhere,Hello Keys-To-Go 2. 🚀⌨️</t>
  </si>
  <si>
    <t>https://www.facebook.com/653982650108774/posts/881970333976670</t>
  </si>
  <si>
    <t>06/21/2024 5:46pm BST</t>
  </si>
  <si>
    <t>Introducing Logitech MX Ink, the first mixed reality stylus for Meta Quest. With a focus on familiarity and precision, MX Ink bridges the gap between traditional tools and the immersive digital world to unleash creativity and drive productivity. With haptic feedback and pressure sensitivity, it's a perfect tool for your daily needs. Shipping Meta Connect 2024. https://logi.link/b3f1vd.,Introducing Logitech MX Ink,</t>
  </si>
  <si>
    <t>https://www.facebook.com/video.php?v=311633345352614</t>
  </si>
  <si>
    <t>MX Ink</t>
  </si>
  <si>
    <t>06/26/2024 5:15pm BST</t>
  </si>
  <si>
    <t>Meet EVERBOOM: Your new favorite drop proof, floatable, waterproof, and party proof speaker. Whatever the occasion, wherever you go. EVERBOOM has you covered. 💥🔉 Meet the new speaker lineup here: https://logi.link/8cyt2f #UltimateEars #BringTheBOOM #EVERBOOM,Meet EVERBOOM: Your new</t>
  </si>
  <si>
    <t>https://www.facebook.com/video.php?v=1411118836233868</t>
  </si>
  <si>
    <t>EVERBOOM Speaker</t>
  </si>
  <si>
    <t>Clicks</t>
  </si>
  <si>
    <t>01/12/2024 5:23pm GMT</t>
  </si>
  <si>
    <t>Corporate Achievement (Design Awards)</t>
  </si>
  <si>
    <t>10x🏆 what a way to start off the year! Congrats to our Design team, and a special thank you to everyone in our incredible community who uses those designs to do and achieve more each day. Head to our Blog to learn more: https://lnkd.in/gPYiUuQx,</t>
  </si>
  <si>
    <t>https://www.linkedin.com/feed/update/urn:li:ugcPost:7151624716078698496</t>
  </si>
  <si>
    <t>01/17/2024 10:25pm GMT</t>
  </si>
  <si>
    <t>Samantha Anderson &amp; Ainura Sagyn, each a founder of a company on the cutting edge of sustainability science, show us how creative problem-solving can be as important as technical know-how in STEM 💭🧩 Dive into their stories here: https://bit.ly/47pjxzC,</t>
  </si>
  <si>
    <t>https://www.linkedin.com/feed/update/urn:li:ugcPost:7153512724113580033</t>
  </si>
  <si>
    <t>01/23/2024 2:00pm GMT</t>
  </si>
  <si>
    <t>Financial Results</t>
  </si>
  <si>
    <t>Learn more about the FY24 Q3 Holiday quarter results in our shareholder letter. https://logi.link/FY24Q3letter,Learn more about the</t>
  </si>
  <si>
    <t>https://www.linkedin.com/feed/update/urn:li:share:7155559942354071552</t>
  </si>
  <si>
    <t>02/22/2024 10:01pm GMT</t>
  </si>
  <si>
    <t>Corporate Partnership (GLAAD)</t>
  </si>
  <si>
    <t>As a @GLAAD partner, Logitech continues its commitment to LGBTQ advocacy. We are proud to be your partner in this important work. The @GLAAD Gaming Report was created to educate the game industry on the current state of LGBTQ representation that exists, make a facts-based business case for inclusion, and provide a playbook for more authentic representation.  Read more on our blog post here: logi.link/glaad,</t>
  </si>
  <si>
    <t>https://www.linkedin.com/feed/update/urn:li:share:7166552524601167874</t>
  </si>
  <si>
    <t>02/27/2024 2:02pm GMT</t>
  </si>
  <si>
    <t>Video</t>
  </si>
  <si>
    <t>🌟 It’s official! 🌟 Casa Pop-Up Desk has landed in North America, available today! 🇨🇦🇺🇸 Our all-in-one fold away desk kit perfectly tuned to your life. Transition seamlessly from work mode to home mode, in an instant. 🏡👩‍💻 Tap the link to discover all the details: https://bit.ly/49GBjjC,🌟 It’s official! 🌟</t>
  </si>
  <si>
    <t>https://www.linkedin.com/feed/update/urn:li:ugcPost:7168244089191157763</t>
  </si>
  <si>
    <t>02/29/2024 5:31pm GMT</t>
  </si>
  <si>
    <t>🌟 We're thrilled to share the big news, Casa Pop-Up Desk is now officially available in North America! 🇨🇦🇺🇸 The wait is finally over 🎉 Create your ideal space for work, life, and home. Learn more with the link below. https://bit.ly/3P1TQ1U,🌟 We're thrilled to</t>
  </si>
  <si>
    <t>https://www.linkedin.com/feed/update/urn:li:ugcPost:7169021327935229956</t>
  </si>
  <si>
    <t>03/06/2024 2:02pm GMT</t>
  </si>
  <si>
    <t>🎉 See what you're made of with the MX Brio, our new Ultra HD 4K Webcam 🎉 You've Mastered the work. Now Master how you share it. 📷😁 The MX Brio sets the stage with Ultra HD 4K, image customization with Fine Controls, and the ability to power through difficult lighting. Get all the details with the link below. #MXBrio #LogiMX #Webcam https://bit.ly/3T2X8CS,🎉 See what you're</t>
  </si>
  <si>
    <t>https://www.linkedin.com/feed/update/urn:li:ugcPost:7171143013291814913</t>
  </si>
  <si>
    <t>Lights, camera, Show Mode! Our MX Brio's Show Mode empowers you to share your desk, ideas, and creativity - making it the perfect camera for all the light you shine. Shine on ✨ Learn more with the link below. Meet. Stream. Master. https://bit.ly/3T2X8CS #MXBrio #LogiMX #Webcam,Lights, camera, Show Mode!</t>
  </si>
  <si>
    <t>https://www.linkedin.com/feed/update/urn:li:ugcPost:7171550349856550913</t>
  </si>
  <si>
    <t>03/07/2024 10:23pm GMT</t>
  </si>
  <si>
    <t>The Future Positive Challenge is back for its second year! 🚀🌎 Our annual challenge invites innovators to collaborate with us to develop more sustainable products. We're scouring the globe for #entrepreneurs and #startups who hold the key to addressing immediate #sustainability challenges in consumer electronics. Together, we'll bring their visionary solutions to life, impacting not only the consumer electronics industry but within our own products!💡 Head to our press release for all the details on our challenge and how to apply: https://logi.link/fpc24 #FuturePositiveChallenge,</t>
  </si>
  <si>
    <t>https://www.linkedin.com/feed/update/urn:li:share:7171631502516973569</t>
  </si>
  <si>
    <t>03/07/2024 8:22am GMT</t>
  </si>
  <si>
    <t>Avec notre nouvelle webcam MX Brio, brillez en réunion et faites dire "Oh wow" à vos collègues ! 😍 Profitez d’une résolution professionnelle pour que chaque aspect de votre travail soit vu dans toute sa splendeur. #Logitech #MXBrio #Webcam #Work #Visio,</t>
  </si>
  <si>
    <t>https://www.linkedin.com/feed/update/urn:li:ugcPost:7171419893618196480</t>
  </si>
  <si>
    <t>03/08/2024 4:20pm GMT</t>
  </si>
  <si>
    <t>Women’s Day</t>
  </si>
  <si>
    <t>🌟 Today, as we honor International Women's Day, let's remember that our commitment to inclusion doesn't end here. At Logitech, we strive to cultivate a culture where every voice matters. Where everyone, regardless of gender, feels empowered, respected, and appreciated every day. By recognizing and celebrating the achievements of each individual, we embrace the power of allyship and collaboration in dismantling barriers and fostering an environment where everyone can flourish equally. We’ll continue to champion diversity, equity, and inclusion together, not just today, but every day. Tap the link here to read our full blog post with contributions from some Logitech team members on what #IWD means to them: https://logi.link/IWD24 #InternationalWomensDay #DiversityandInclusion #genderequality,</t>
  </si>
  <si>
    <t>https://www.linkedin.com/feed/update/urn:li:share:7171902651557666817</t>
  </si>
  <si>
    <t>Experience our largest webcam sensor ever, creating unparalleled image quality even in low light. 🌥 Paired with a new lens design, you can bring your presence to a new level. Tap the link to learn more. #MXBrio #LogiMX #Webcam,Experience our largest webcam</t>
  </si>
  <si>
    <t>https://www.linkedin.com/feed/update/urn:li:ugcPost:7172984789300441088</t>
  </si>
  <si>
    <t>03/13/2024 8:43pm GMT</t>
  </si>
  <si>
    <t>Corporate Achievement</t>
  </si>
  <si>
    <t>And the momentum for 2024 keeps on building with more #design award wins at Logitech! 🚀 We’re honored to once again be recognized by @iF DESIGN and @International Design Awards, IDA. Kudos to our incredible Design team, and thanks so much to our entire customer community for having us along on the journey. Read more on our latest Blog post: logi.link/05qgg8,</t>
  </si>
  <si>
    <t>https://www.linkedin.com/feed/update/urn:li:share:7173780766311604225</t>
  </si>
  <si>
    <t>03/13/2024 7:01pm GMT</t>
  </si>
  <si>
    <t>Time to see what you’re made of – with a brand new lens design, crystal clear 4K, and the ability to adjust it all to fit your environment. MX Brio, our most powerful camera, has arrived. #MXBrio #LogiMX #Webcam https://bit.ly/3T2X8CS,🌟 Hello MX Brio</t>
  </si>
  <si>
    <t>https://www.linkedin.com/feed/update/urn:li:ugcPost:7173754981647310848</t>
  </si>
  <si>
    <t>03/14/2024 8:13pm GMT</t>
  </si>
  <si>
    <t>Logitech Crayon</t>
  </si>
  <si>
    <t>Thanks to the artistic power of the Logitech Crayon, we drew up some pie 🥧 to celebrate Pi Day with our community! Of course we brought enough to share with the class 3.14159 times over! #LogitechCrayon #LogitechEDU #piday,</t>
  </si>
  <si>
    <t>https://www.linkedin.com/feed/update/urn:li:share:7174135659530481664</t>
  </si>
  <si>
    <t>03/15/2024 5:16pm GMT</t>
  </si>
  <si>
    <t>Bringing the whole MX family together, with an all-in-one app experience. Introducing Fine Controls, a brand new feature in the Logi Options+ app that lets you tweak picture, audio, and more in real time. Tap the link below to learn all about it. https://bit.ly/3T2X8CS #MXBrio #LogiMX #Webcam,</t>
  </si>
  <si>
    <t>https://www.linkedin.com/feed/update/urn:li:ugcPost:7174453300153495552</t>
  </si>
  <si>
    <t>03/19/2024 7:00pm GMT</t>
  </si>
  <si>
    <t>Women Corporate Campaign</t>
  </si>
  <si>
    <t>The future for women in STEM is bright! ☀️ For Women’s History Month, we’re celebrating our wonderful Women Who Master! Read all their stories here: https://lnkd.in/gQFH-qNC #Logitech #WomenWhoMaster #WomenInSTEM #WomensHistoryMonth,</t>
  </si>
  <si>
    <t>https://www.linkedin.com/feed/update/urn:li:ugcPost:7174457143029297152</t>
  </si>
  <si>
    <t>03/27/2024 1:02pm GMT</t>
  </si>
  <si>
    <t>Meet our new Signature Slim Combo 💫 A beautifully modern and simple solution to manage work, life, and everything in between. Unlock the magic to seamlessly move between computers and transition from work to leisure time with comfortable typing and shortcuts for work and home supported by Logi Options+. Make it fun. Make it focused. Make it fast. Head to our homepage to learn all about it: https://logi.link/73rtx9,Meet our new Signature</t>
  </si>
  <si>
    <t>https://www.linkedin.com/feed/update/urn:li:ugcPost:7178738179670257665</t>
  </si>
  <si>
    <t>https://www.linkedin.com/feed/update/urn:li:share:7179228323447721986</t>
  </si>
  <si>
    <t>03/29/2024 9:30pm GMT</t>
  </si>
  <si>
    <t>Let’s make magic together with our new Signature Slim Keyboard, the perfect companion to our Signature M650 Mouse. Easy device switching, quiet typing, and customizable shortcuts makes managing work and life at the desk a breeze. Compatible with what you use, connect up to 3 devices at once. Head to our homepage to make work-life magic: https://bit.ly/3Trvn7x,Let’s make magic together</t>
  </si>
  <si>
    <t>https://www.linkedin.com/feed/update/urn:li:ugcPost:7179590807782371328</t>
  </si>
  <si>
    <t>https://www.linkedin.com/feed/update/urn:li:ugcPost:7180942257292804097</t>
  </si>
  <si>
    <t>04/04/2024 2:45am BST</t>
  </si>
  <si>
    <t>Corporate Partnership</t>
  </si>
  <si>
    <t>Well done, @David Hirschler and the entire ERI team! We're excited to be partnering with you on this impactful initiative here at Logitech.,</t>
  </si>
  <si>
    <t>https://www.linkedin.com/feed/update/urn:li:share:7181466826810302466</t>
  </si>
  <si>
    <t>04/05/2024 1:00pm BST</t>
  </si>
  <si>
    <t>Simplify your blended world with our Signature Slim Combo. Whether you're transitioning from work to home mode, use one mouse and keyboard to seamlessly switch between your work laptop and personal computer. Now bring the magic. Learn more about creating your own work-life magic on our homepage below. https://logi.link/73rtx9,Simplify your blended world</t>
  </si>
  <si>
    <t>https://www.linkedin.com/feed/update/urn:li:ugcPost:7181984058908839936</t>
  </si>
  <si>
    <t>04/17/2024 4:50pm BST</t>
  </si>
  <si>
    <t>https://www.linkedin.com/feed/update/urn:li:ugcPost:7186390598357061632</t>
  </si>
  <si>
    <t>https://www.linkedin.com/feed/update/urn:li:ugcPost:7186695088218038272</t>
  </si>
  <si>
    <t>04/22/2024 6:06pm BST</t>
  </si>
  <si>
    <t>From e-waste to something wonderful. Lift, Wave Keys, MX Anywhere 3S, MX Brio, Pebble 2, Signature Slim keyboard K950, and much more! 2 in 3 Logitech products are made with post-consumer recycled plastic coming from end-of-use consumer electronics, which could have otherwise ended up in landfills. What’s even better, all the products have the same high-quality design, function and performance you’ve always known from Logitech. #recycledplastic #ewaste #sustainability #nextlifeplastics,</t>
  </si>
  <si>
    <t>https://www.linkedin.com/feed/update/urn:li:ugcPost:7188221562796273664</t>
  </si>
  <si>
    <t>🌿🎧 This Earth Day, Logitech continues to leverage the power of design to spur innovation and scale progress by designing for sustainability. This has led to a significant increase in the integration of next life materials across our family of products, with two in three products now using Next Life recycled plastic. 🌟 Stay tuned as we continue to push the boundaries in design. We’re excited to see what the future holds for the adoption of new materials. It's all part of a process to care for our little blue planet. #EarthDay #DesignforSustainability #Logitech Head here to learn more: https://logi.link/EarthDay24,🌿🎧 This Earth Day,</t>
  </si>
  <si>
    <t>https://www.linkedin.com/feed/update/urn:li:ugcPost:7188280569288450048</t>
  </si>
  <si>
    <t>04/30/2024 1:00pm BST</t>
  </si>
  <si>
    <t>Learn more about Logitech’s Q4 and full Fiscal Year 2024 results in our shareholder letter. https://lnkd.in/gfMUJTfu,</t>
  </si>
  <si>
    <t>https://www.linkedin.com/feed/update/urn:li:share:7190896136633610240</t>
  </si>
  <si>
    <t>05/10/2024 6:46pm BST</t>
  </si>
  <si>
    <t>Proud to share that we've teamed up with @TechLit Africa, a phenomenal tech non-profit close to our hearts. They're dedicated to empowering kids in rural African schools with digital skills, using both new and open box gear. It's about more than just learning tech—it's about building futures and strengthening communities. So grateful to TechLit for letting us be a part of this journey! Head to our blog to learn more: https://logi.link/92j895,</t>
  </si>
  <si>
    <t>https://www.linkedin.com/feed/update/urn:li:ugcPost:7194754618826924032</t>
  </si>
  <si>
    <t>05/10/2024 3:00pm BST</t>
  </si>
  <si>
    <t>Combo Touch</t>
  </si>
  <si>
    <t>https://www.linkedin.com/feed/update/urn:li:ugcPost:7194697885660160000</t>
  </si>
  <si>
    <t>05/13/2024 3:01pm BST</t>
  </si>
  <si>
    <t>https://www.linkedin.com/feed/update/urn:li:ugcPost:7195785113371123713</t>
  </si>
  <si>
    <t>05/14/2024 7:50pm BST</t>
  </si>
  <si>
    <t>So proud to announce more design award wins at Logitech for 2024! 🎉 ✨ Following the @Red Dot Design Award Team of the Year 2023, we’ve once again been recognized by Red Dot with 10 product award wins this year. Congratulations to all the teams at Logitech involved in innovating our products, and thank you to our community of customers all over the world that enjoy our products every day. Read more here: https://logi.link/kx36un,</t>
  </si>
  <si>
    <t>https://www.linkedin.com/feed/update/urn:li:ugcPost:7196220225434836992</t>
  </si>
  <si>
    <t>05/22/2024 3:00am BST</t>
  </si>
  <si>
    <t>🚀🍏We are thrilled to welcome the NEW Combo Touch, compatible with the new iPad Pro and iPad Air. Our thinnest and lightest keyboard case in a secure, form-fit design. Whether you're working from here or there, getting creative on the fly, or finishing that last detail - enjoy ultimate flexibility. Anywhere. Learn more here: https://logi.link/i2z181 #iPadPro #iPadAir #ComboTouch,</t>
  </si>
  <si>
    <t>https://www.linkedin.com/feed/update/urn:li:share:7198865273850900480</t>
  </si>
  <si>
    <t>05/22/2024 3:55pm BST</t>
  </si>
  <si>
    <t>https://www.linkedin.com/feed/update/urn:li:ugcPost:7199060155269869569</t>
  </si>
  <si>
    <t>05/30/2024 2:00am BST</t>
  </si>
  <si>
    <t>Prototype</t>
  </si>
  <si>
    <t>🌎🌳 Logitech is exploring design with materials like cork to replace traditional plastics. This prototype headset with a blend of cork and recycled plastic is stunning. Thanks @Jasper Phua for sharing our story with @Fast Company. To read the story, and learn more about our prototype design, tap the link below: https://logi.link/oyala7 #innovation #sustainability #materials,</t>
  </si>
  <si>
    <t>https://www.linkedin.com/feed/update/urn:li:ugcPost:7201749285518942208</t>
  </si>
  <si>
    <t>05/30/2024 6:01pm BST</t>
  </si>
  <si>
    <t>🌊 Say hello to the newest addition to our Designed for Mac lineup: Wave Keys for Mac! Crafted for comfort. Made for you. Optimized for macOS. Discover more about this keyboard and our entire Designed for Mac series through the link below. https://logi.link/ck3dgt,🌊 Say hello to</t>
  </si>
  <si>
    <t>https://www.linkedin.com/feed/update/urn:li:ugcPost:7201991226902863873</t>
  </si>
  <si>
    <t>05/30/2024 5:02pm BST</t>
  </si>
  <si>
    <t>MX Series for Mac</t>
  </si>
  <si>
    <t>https://www.linkedin.com/feed/update/urn:li:ugcPost:7201976192474750978</t>
  </si>
  <si>
    <t>https://www.linkedin.com/feed/update/urn:li:ugcPost:7202308408497090561</t>
  </si>
  <si>
    <t>06/05/2024 7:00pm BST</t>
  </si>
  <si>
    <t>Happy World Environment Day! What small things are you doing this #WorldEnvironmentDay (and everyday) to make a difference? #Sustainability #Logitech,</t>
  </si>
  <si>
    <t>https://www.linkedin.com/feed/update/urn:li:ugcPost:7204180170860027906</t>
  </si>
  <si>
    <t>06/06/2024 10:32pm BST</t>
  </si>
  <si>
    <t>Corporate Event</t>
  </si>
  <si>
    <t>Ready for some tech magic? Join us at @InfoComm Show next week to see the latest and greatest solutions we have to offer. Swing by booth #C5365 and say hi - we can’t wait to see you there! #InfoComm2024 #Logitech #InfoComm,</t>
  </si>
  <si>
    <t>https://www.linkedin.com/feed/update/urn:li:ugcPost:7204596116380606464</t>
  </si>
  <si>
    <t>06/12/2024 3:03am BST</t>
  </si>
  <si>
    <t>Welcome to Switzerland, Leddy! We're thrilled to have the star of our upcoming #WomenWhoMaster film at our office. This visit is more than just a celebration—it's an incredible opportunity to inspire young girls and give them access to technology. @Nelly (Kosi) Cheboi &amp; @Zawadi Yetu Mogotio,</t>
  </si>
  <si>
    <t>https://www.linkedin.com/feed/update/urn:li:ugcPost:7206476144261365760</t>
  </si>
  <si>
    <t>06/12/2024 6:02pm BST</t>
  </si>
  <si>
    <t>Corporate DEI</t>
  </si>
  <si>
    <t>🌈 Ally is a Verb 🌈 Pride Month is a time to celebrate LGBTQ+ joy and visibility, and to protest against the forces that seek to undermine human rights. It’s a time to reflect our role as allies, striving to create a world where equality is a reality for all. This Pride, let's remember that allyship requires more than words. It demands action. Together, we can write the history we want to be part of. Tap the link below to hear from @Samantha Harnett, Logitech’s Chief Legal Officer, on what it means to be an ally, a mother and a colleague: https://logi.link/9bo7ru #Pride2024 #LogiPride #UnapologeticPride,</t>
  </si>
  <si>
    <t>https://www.linkedin.com/feed/update/urn:li:share:7206696532157366272</t>
  </si>
  <si>
    <t>We’re thrilled to share our film produced by @BBC StoryWorks that follows Leddy, a young girl in Kenya who dreams of reaching the stars. Our inspiring #WomenWhoMaster @Aisha Bowe and @Nelly (Kosi) Cheboi 🤗 help us empower young girls like Leddy to envision themselves in STEM careers. Watch the full video here: logi.link/4xsvcf #Logitech #TheHumanComponent,</t>
  </si>
  <si>
    <t>https://www.linkedin.com/feed/update/urn:li:ugcPost:7207154997292126208</t>
  </si>
  <si>
    <t>06/17/2024 2:00pm BST</t>
  </si>
  <si>
    <t>Introducing Logitech MX Ink, the first mixed reality stylus for @Meta Quest. With a focus on familiarity and precision, MX Ink bridges the gap between traditional tools and the immersive digital world to unleash creativity and drive productivity. With haptic feedback and pressure sensitivity, it's a perfect tool for your daily needs. Shipping Meta Connect 2024. https://logi.link/b3f1vd. #MXInk #Logitech #MetaQuest,</t>
  </si>
  <si>
    <t>https://www.linkedin.com/feed/update/urn:li:ugcPost:7207531670881599488</t>
  </si>
  <si>
    <t>https://www.linkedin.com/feed/update/urn:li:ugcPost:7208816093308600320</t>
  </si>
  <si>
    <t>https://www.linkedin.com/feed/update/urn:li:ugcPost:7209555950184140802</t>
  </si>
  <si>
    <t>06/23/2024 4:22pm BST</t>
  </si>
  <si>
    <t>Happy International Women in Engineering Day! Our professional cohort of women in STEM aim to inspire young girls around the world and encourage their interests in science and technology at any age. Thank you to all of our Women Who Master for your countless contributions to innovative technology, and for all those you’ve inspired along the way 🌟 Learn more about the program here → https://lnkd.in/gDe3ikwi #IWED2024 #WomenWhoMaster #WomenInSTEM,</t>
  </si>
  <si>
    <t>https://www.linkedin.com/feed/update/urn:li:ugcPost:7210663361686958080</t>
  </si>
  <si>
    <t>06/27/2024 8:45am BST</t>
  </si>
  <si>
    <t>Votre bien-être au travail, qu'il soit physique ou mental, est essentiel. Pour vous aider à l'améliorer, voici quelques conseils. Pour un espace de travail toujours plus ergonomique et confortable, explorez la Série Ergo de Logitech. Vous y trouverez tout ce qu'il vous faut pour travailler dans les meilleures conditions : https://lnkd.in/e6GBjcJD,</t>
  </si>
  <si>
    <t>https://www.linkedin.com/feed/update/urn:li:ugcPost:7211998021612417025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</si>
</sst>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quot;/&quot;d&quot;/&quot;yyyy"/>
    <numFmt numFmtId="165" formatCode="d&quot;/&quot;m&quot;/&quot;yy"/>
    <numFmt numFmtId="166" formatCode="M/d/yyyy"/>
    <numFmt numFmtId="167" formatCode="0.0%"/>
  </numFmts>
  <fonts count="12">
    <font>
      <sz val="10.0"/>
      <color rgb="FF000000"/>
      <name val="Arial"/>
      <scheme val="minor"/>
    </font>
    <font>
      <b/>
      <color theme="1"/>
      <name val="Arial"/>
      <scheme val="minor"/>
    </font>
    <font>
      <b/>
      <sz val="10.0"/>
      <color rgb="FF000000"/>
      <name val="Arial"/>
      <scheme val="minor"/>
    </font>
    <font>
      <color theme="1"/>
      <name val="Arial"/>
      <scheme val="minor"/>
    </font>
    <font>
      <u/>
      <color rgb="FF0000FF"/>
    </font>
    <font>
      <u/>
      <color rgb="FF0000FF"/>
    </font>
    <font>
      <color rgb="FF000000"/>
      <name val="Arial"/>
      <scheme val="minor"/>
    </font>
    <font>
      <sz val="12.0"/>
      <color rgb="FF404040"/>
      <name val="Inter"/>
    </font>
    <font>
      <b/>
      <sz val="10.0"/>
      <color theme="1"/>
      <name val="Arial"/>
      <scheme val="minor"/>
    </font>
    <font>
      <u/>
      <color rgb="FF0000FF"/>
    </font>
    <font>
      <sz val="10.0"/>
      <color rgb="FF404040"/>
      <name val="Arial"/>
      <scheme val="minor"/>
    </font>
    <font>
      <sz val="10.0"/>
      <color theme="1"/>
      <name val="Arial"/>
      <scheme val="minor"/>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4" xfId="0" applyAlignment="1" applyFont="1" applyNumberFormat="1">
      <alignment readingOrder="0"/>
    </xf>
    <xf borderId="0" fillId="0" fontId="1" numFmtId="0" xfId="0" applyAlignment="1" applyFont="1">
      <alignment horizontal="left" readingOrder="0"/>
    </xf>
    <xf borderId="0" fillId="0" fontId="2" numFmtId="0" xfId="0" applyAlignment="1" applyFont="1">
      <alignment readingOrder="0"/>
    </xf>
    <xf borderId="0" fillId="0" fontId="1" numFmtId="10" xfId="0" applyAlignment="1" applyFont="1" applyNumberFormat="1">
      <alignment readingOrder="0"/>
    </xf>
    <xf borderId="0" fillId="0" fontId="1" numFmtId="0" xfId="0" applyFont="1"/>
    <xf borderId="0" fillId="0" fontId="3" numFmtId="165" xfId="0" applyAlignment="1" applyFont="1" applyNumberFormat="1">
      <alignment readingOrder="0"/>
    </xf>
    <xf borderId="0" fillId="0" fontId="3" numFmtId="164" xfId="0" applyAlignment="1" applyFont="1" applyNumberFormat="1">
      <alignment readingOrder="0"/>
    </xf>
    <xf borderId="0" fillId="0" fontId="3" numFmtId="0" xfId="0" applyAlignment="1" applyFont="1">
      <alignment readingOrder="0"/>
    </xf>
    <xf borderId="0" fillId="0" fontId="3" numFmtId="0" xfId="0" applyAlignment="1" applyFont="1">
      <alignment horizontal="left" readingOrder="0"/>
    </xf>
    <xf borderId="0" fillId="0" fontId="0" numFmtId="0" xfId="0" applyAlignment="1" applyFont="1">
      <alignment readingOrder="0"/>
    </xf>
    <xf borderId="0" fillId="0" fontId="4" numFmtId="0" xfId="0" applyAlignment="1" applyFont="1">
      <alignment readingOrder="0"/>
    </xf>
    <xf borderId="0" fillId="0" fontId="3" numFmtId="10" xfId="0" applyAlignment="1" applyFont="1" applyNumberFormat="1">
      <alignment readingOrder="0"/>
    </xf>
    <xf borderId="0" fillId="2" fontId="3" numFmtId="165" xfId="0" applyAlignment="1" applyFill="1" applyFont="1" applyNumberFormat="1">
      <alignment readingOrder="0"/>
    </xf>
    <xf borderId="0" fillId="2" fontId="3" numFmtId="164" xfId="0" applyAlignment="1" applyFont="1" applyNumberFormat="1">
      <alignment readingOrder="0"/>
    </xf>
    <xf borderId="0" fillId="2" fontId="3" numFmtId="0" xfId="0" applyAlignment="1" applyFont="1">
      <alignment readingOrder="0"/>
    </xf>
    <xf borderId="0" fillId="2" fontId="3" numFmtId="0" xfId="0" applyAlignment="1" applyFont="1">
      <alignment horizontal="left" readingOrder="0"/>
    </xf>
    <xf borderId="0" fillId="2" fontId="5" numFmtId="0" xfId="0" applyAlignment="1" applyFont="1">
      <alignment readingOrder="0"/>
    </xf>
    <xf borderId="0" fillId="2" fontId="3" numFmtId="10" xfId="0" applyAlignment="1" applyFont="1" applyNumberFormat="1">
      <alignment readingOrder="0"/>
    </xf>
    <xf borderId="0" fillId="0" fontId="6" numFmtId="0" xfId="0" applyAlignment="1" applyFont="1">
      <alignment readingOrder="0"/>
    </xf>
    <xf borderId="0" fillId="0" fontId="3" numFmtId="164" xfId="0" applyFont="1" applyNumberFormat="1"/>
    <xf borderId="0" fillId="0" fontId="3" numFmtId="164" xfId="0" applyFont="1" applyNumberFormat="1"/>
    <xf borderId="0" fillId="0" fontId="3" numFmtId="0" xfId="0" applyAlignment="1" applyFont="1">
      <alignment horizontal="left"/>
    </xf>
    <xf borderId="0" fillId="0" fontId="0" numFmtId="0" xfId="0" applyFont="1"/>
    <xf borderId="0" fillId="0" fontId="3" numFmtId="10" xfId="0" applyFont="1" applyNumberFormat="1"/>
    <xf borderId="0" fillId="0" fontId="3" numFmtId="4" xfId="0" applyFont="1" applyNumberFormat="1"/>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3" numFmtId="166" xfId="0" applyAlignment="1" applyFont="1" applyNumberFormat="1">
      <alignment readingOrder="0"/>
    </xf>
    <xf borderId="0" fillId="0" fontId="7" numFmtId="0" xfId="0" applyAlignment="1" applyFont="1">
      <alignment readingOrder="0"/>
    </xf>
    <xf borderId="0" fillId="0" fontId="3" numFmtId="167" xfId="0" applyFont="1" applyNumberFormat="1"/>
    <xf borderId="0" fillId="0" fontId="7" numFmtId="0" xfId="0" applyAlignment="1" applyFont="1">
      <alignment horizontal="left" readingOrder="0"/>
    </xf>
    <xf borderId="0" fillId="0" fontId="3" numFmtId="165" xfId="0" applyFont="1" applyNumberFormat="1"/>
    <xf borderId="0" fillId="0" fontId="3" numFmtId="166" xfId="0" applyFont="1" applyNumberFormat="1"/>
    <xf borderId="0" fillId="0" fontId="8" numFmtId="0" xfId="0" applyAlignment="1" applyFont="1">
      <alignment readingOrder="0"/>
    </xf>
    <xf borderId="0" fillId="0" fontId="1" numFmtId="0" xfId="0" applyAlignment="1" applyFont="1">
      <alignment readingOrder="0" shrinkToFit="0" wrapText="0"/>
    </xf>
    <xf borderId="0" fillId="3" fontId="0" numFmtId="165" xfId="0" applyFill="1" applyFont="1" applyNumberFormat="1"/>
    <xf borderId="0" fillId="0" fontId="9" numFmtId="0" xfId="0" applyAlignment="1" applyFont="1">
      <alignment readingOrder="0" shrinkToFit="0" wrapText="0"/>
    </xf>
    <xf borderId="0" fillId="0" fontId="10" numFmtId="0" xfId="0" applyAlignment="1" applyFont="1">
      <alignment readingOrder="0"/>
    </xf>
    <xf borderId="0" fillId="0" fontId="11" numFmtId="165" xfId="0" applyFont="1" applyNumberFormat="1"/>
    <xf borderId="0" fillId="0" fontId="3" numFmtId="0" xfId="0" applyAlignment="1" applyFont="1">
      <alignment shrinkToFit="0" wrapText="0"/>
    </xf>
    <xf borderId="0" fillId="0" fontId="11" numFmtId="0" xfId="0" applyFont="1"/>
    <xf borderId="0" fillId="0" fontId="0"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reel/C5EFmMFrYN1/" TargetMode="External"/><Relationship Id="rId42" Type="http://schemas.openxmlformats.org/officeDocument/2006/relationships/hyperlink" Target="https://www.instagram.com/reel/C5GVz4yPv7s/" TargetMode="External"/><Relationship Id="rId41" Type="http://schemas.openxmlformats.org/officeDocument/2006/relationships/hyperlink" Target="https://www.instagram.com/p/C5G-5K4PY00/" TargetMode="External"/><Relationship Id="rId44" Type="http://schemas.openxmlformats.org/officeDocument/2006/relationships/hyperlink" Target="https://www.instagram.com/reel/C53qnhUrhZC/" TargetMode="External"/><Relationship Id="rId43" Type="http://schemas.openxmlformats.org/officeDocument/2006/relationships/hyperlink" Target="https://www.instagram.com/reel/C5YXS09tyEC/" TargetMode="External"/><Relationship Id="rId46" Type="http://schemas.openxmlformats.org/officeDocument/2006/relationships/hyperlink" Target="https://www.instagram.com/p/C6E_5t2Svw-/" TargetMode="External"/><Relationship Id="rId45" Type="http://schemas.openxmlformats.org/officeDocument/2006/relationships/hyperlink" Target="https://www.instagram.com/p/C56KOhYt134/" TargetMode="External"/><Relationship Id="rId1" Type="http://schemas.openxmlformats.org/officeDocument/2006/relationships/hyperlink" Target="https://www.instagram.com/reel/C1r5ygUpkLV/" TargetMode="External"/><Relationship Id="rId2" Type="http://schemas.openxmlformats.org/officeDocument/2006/relationships/hyperlink" Target="https://www.instagram.com/p/C14xoZuxIaj/" TargetMode="External"/><Relationship Id="rId3" Type="http://schemas.openxmlformats.org/officeDocument/2006/relationships/hyperlink" Target="https://www.instagram.com/reel/C17WNXfL7h5/" TargetMode="External"/><Relationship Id="rId4" Type="http://schemas.openxmlformats.org/officeDocument/2006/relationships/hyperlink" Target="https://www.instagram.com/reel/C2AgJxoxNKz/" TargetMode="External"/><Relationship Id="rId9" Type="http://schemas.openxmlformats.org/officeDocument/2006/relationships/hyperlink" Target="https://www.instagram.com/reel/C2klyvMxUBD/" TargetMode="External"/><Relationship Id="rId48" Type="http://schemas.openxmlformats.org/officeDocument/2006/relationships/hyperlink" Target="https://www.instagram.com/reel/C6L-LDvLMeB/" TargetMode="External"/><Relationship Id="rId47" Type="http://schemas.openxmlformats.org/officeDocument/2006/relationships/hyperlink" Target="https://www.instagram.com/reel/C6JqQT-xI3M/" TargetMode="External"/><Relationship Id="rId49" Type="http://schemas.openxmlformats.org/officeDocument/2006/relationships/hyperlink" Target="https://www.instagram.com/p/C6ymQaxtxIL/" TargetMode="External"/><Relationship Id="rId5" Type="http://schemas.openxmlformats.org/officeDocument/2006/relationships/hyperlink" Target="https://www.instagram.com/reel/C2LOikNMwgt/" TargetMode="External"/><Relationship Id="rId6" Type="http://schemas.openxmlformats.org/officeDocument/2006/relationships/hyperlink" Target="https://www.instagram.com/reel/C2P89mkxmmt/" TargetMode="External"/><Relationship Id="rId7" Type="http://schemas.openxmlformats.org/officeDocument/2006/relationships/hyperlink" Target="https://www.instagram.com/reel/C2c0qLHxoRE/" TargetMode="External"/><Relationship Id="rId8" Type="http://schemas.openxmlformats.org/officeDocument/2006/relationships/hyperlink" Target="https://www.instagram.com/reel/C2h-UCTRsGh/" TargetMode="External"/><Relationship Id="rId31" Type="http://schemas.openxmlformats.org/officeDocument/2006/relationships/hyperlink" Target="https://www.instagram.com/reel/C4a4w6wrVW8/" TargetMode="External"/><Relationship Id="rId30" Type="http://schemas.openxmlformats.org/officeDocument/2006/relationships/hyperlink" Target="https://www.instagram.com/reel/C4YT9vEpjSk/" TargetMode="External"/><Relationship Id="rId33" Type="http://schemas.openxmlformats.org/officeDocument/2006/relationships/hyperlink" Target="https://www.instagram.com/reel/C4inRuevjPh/" TargetMode="External"/><Relationship Id="rId32" Type="http://schemas.openxmlformats.org/officeDocument/2006/relationships/hyperlink" Target="https://www.instagram.com/reel/C4dohZ0RNKd/" TargetMode="External"/><Relationship Id="rId35" Type="http://schemas.openxmlformats.org/officeDocument/2006/relationships/hyperlink" Target="https://www.instagram.com/p/C4vfPvAve66/" TargetMode="External"/><Relationship Id="rId34" Type="http://schemas.openxmlformats.org/officeDocument/2006/relationships/hyperlink" Target="https://www.instagram.com/p/C4s6XJRPA01/" TargetMode="External"/><Relationship Id="rId70" Type="http://schemas.openxmlformats.org/officeDocument/2006/relationships/drawing" Target="../drawings/drawing1.xml"/><Relationship Id="rId37" Type="http://schemas.openxmlformats.org/officeDocument/2006/relationships/hyperlink" Target="https://www.instagram.com/reel/C40oxlvr5U8/" TargetMode="External"/><Relationship Id="rId36" Type="http://schemas.openxmlformats.org/officeDocument/2006/relationships/hyperlink" Target="https://www.instagram.com/p/C4yEBKbv4pi/" TargetMode="External"/><Relationship Id="rId39" Type="http://schemas.openxmlformats.org/officeDocument/2006/relationships/hyperlink" Target="https://www.instagram.com/reel/C5BMMfFvHvt/" TargetMode="External"/><Relationship Id="rId38" Type="http://schemas.openxmlformats.org/officeDocument/2006/relationships/hyperlink" Target="https://www.instagram.com/reel/C4-nXyDv0Iv/" TargetMode="External"/><Relationship Id="rId62" Type="http://schemas.openxmlformats.org/officeDocument/2006/relationships/hyperlink" Target="https://www.instagram.com/reel/C8Mw_N6A9SU/" TargetMode="External"/><Relationship Id="rId61" Type="http://schemas.openxmlformats.org/officeDocument/2006/relationships/hyperlink" Target="https://www.instagram.com/reel/C8Hx9kzpHqd/" TargetMode="External"/><Relationship Id="rId20" Type="http://schemas.openxmlformats.org/officeDocument/2006/relationships/hyperlink" Target="https://www.instagram.com/reel/C3lPqE4Oeoo/" TargetMode="External"/><Relationship Id="rId64" Type="http://schemas.openxmlformats.org/officeDocument/2006/relationships/hyperlink" Target="https://www.instagram.com/p/C8PWOgPAHCK/" TargetMode="External"/><Relationship Id="rId63" Type="http://schemas.openxmlformats.org/officeDocument/2006/relationships/hyperlink" Target="https://www.instagram.com/reel/C8LG5FhP5my/" TargetMode="External"/><Relationship Id="rId22" Type="http://schemas.openxmlformats.org/officeDocument/2006/relationships/hyperlink" Target="https://www.instagram.com/p/C30UUxZxdYv/" TargetMode="External"/><Relationship Id="rId66" Type="http://schemas.openxmlformats.org/officeDocument/2006/relationships/hyperlink" Target="https://www.instagram.com/reel/C8W6MkwNfPe/" TargetMode="External"/><Relationship Id="rId21" Type="http://schemas.openxmlformats.org/officeDocument/2006/relationships/hyperlink" Target="https://www.instagram.com/reel/C3sqXhYRV5Q/" TargetMode="External"/><Relationship Id="rId65" Type="http://schemas.openxmlformats.org/officeDocument/2006/relationships/hyperlink" Target="https://www.instagram.com/p/C8UdslSOven/" TargetMode="External"/><Relationship Id="rId24" Type="http://schemas.openxmlformats.org/officeDocument/2006/relationships/hyperlink" Target="https://www.instagram.com/p/C38Jk6PP6WI/" TargetMode="External"/><Relationship Id="rId68" Type="http://schemas.openxmlformats.org/officeDocument/2006/relationships/hyperlink" Target="https://www.instagram.com/reel/C8fA4mtMCHJ/" TargetMode="External"/><Relationship Id="rId23" Type="http://schemas.openxmlformats.org/officeDocument/2006/relationships/hyperlink" Target="https://www.instagram.com/reel/C32n8pKPNDg/" TargetMode="External"/><Relationship Id="rId67" Type="http://schemas.openxmlformats.org/officeDocument/2006/relationships/hyperlink" Target="https://www.instagram.com/p/C8cKy9bR_8l/" TargetMode="External"/><Relationship Id="rId60" Type="http://schemas.openxmlformats.org/officeDocument/2006/relationships/hyperlink" Target="https://www.instagram.com/reel/C77CAARA56F/" TargetMode="External"/><Relationship Id="rId26" Type="http://schemas.openxmlformats.org/officeDocument/2006/relationships/hyperlink" Target="https://www.instagram.com/reel/C4GbuQSRH9e/" TargetMode="External"/><Relationship Id="rId25" Type="http://schemas.openxmlformats.org/officeDocument/2006/relationships/hyperlink" Target="https://www.instagram.com/reel/C3-rAo4xLdz/" TargetMode="External"/><Relationship Id="rId69" Type="http://schemas.openxmlformats.org/officeDocument/2006/relationships/hyperlink" Target="https://www.instagram.com/p/C8pN_KKAwcb/" TargetMode="External"/><Relationship Id="rId28" Type="http://schemas.openxmlformats.org/officeDocument/2006/relationships/hyperlink" Target="https://www.instagram.com/reel/C4OHP13rt8n/" TargetMode="External"/><Relationship Id="rId27" Type="http://schemas.openxmlformats.org/officeDocument/2006/relationships/hyperlink" Target="https://www.instagram.com/reel/C4LOXHUrEOq/" TargetMode="External"/><Relationship Id="rId29" Type="http://schemas.openxmlformats.org/officeDocument/2006/relationships/hyperlink" Target="https://www.instagram.com/reel/C4YosCRPs7d/" TargetMode="External"/><Relationship Id="rId51" Type="http://schemas.openxmlformats.org/officeDocument/2006/relationships/hyperlink" Target="https://www.instagram.com/reel/C7AQa-Wvdvo/" TargetMode="External"/><Relationship Id="rId50" Type="http://schemas.openxmlformats.org/officeDocument/2006/relationships/hyperlink" Target="https://www.instagram.com/p/C66UopvNY77/" TargetMode="External"/><Relationship Id="rId53" Type="http://schemas.openxmlformats.org/officeDocument/2006/relationships/hyperlink" Target="https://www.instagram.com/reel/C7EunGog3xA/" TargetMode="External"/><Relationship Id="rId52" Type="http://schemas.openxmlformats.org/officeDocument/2006/relationships/hyperlink" Target="https://www.instagram.com/reel/C7B78zCNG9f/" TargetMode="External"/><Relationship Id="rId11" Type="http://schemas.openxmlformats.org/officeDocument/2006/relationships/hyperlink" Target="https://www.instagram.com/reel/C2xvw6WSr2B/" TargetMode="External"/><Relationship Id="rId55" Type="http://schemas.openxmlformats.org/officeDocument/2006/relationships/hyperlink" Target="https://www.instagram.com/reel/C7Ru1t6vOFZ/" TargetMode="External"/><Relationship Id="rId10" Type="http://schemas.openxmlformats.org/officeDocument/2006/relationships/hyperlink" Target="https://www.instagram.com/reel/C2vK6lAykZw/" TargetMode="External"/><Relationship Id="rId54" Type="http://schemas.openxmlformats.org/officeDocument/2006/relationships/hyperlink" Target="https://www.instagram.com/reel/C7HQef3gmVY/" TargetMode="External"/><Relationship Id="rId13" Type="http://schemas.openxmlformats.org/officeDocument/2006/relationships/hyperlink" Target="https://www.instagram.com/p/C2-TGNQxj6d/" TargetMode="External"/><Relationship Id="rId57" Type="http://schemas.openxmlformats.org/officeDocument/2006/relationships/hyperlink" Target="https://www.instagram.com/reel/C7majuDtHeo/" TargetMode="External"/><Relationship Id="rId12" Type="http://schemas.openxmlformats.org/officeDocument/2006/relationships/hyperlink" Target="https://www.instagram.com/p/C22k0VSxqc2/" TargetMode="External"/><Relationship Id="rId56" Type="http://schemas.openxmlformats.org/officeDocument/2006/relationships/hyperlink" Target="https://www.instagram.com/p/C7UxPmlvRiM/" TargetMode="External"/><Relationship Id="rId15" Type="http://schemas.openxmlformats.org/officeDocument/2006/relationships/hyperlink" Target="https://www.instagram.com/p/C3GWQddv0Sy/" TargetMode="External"/><Relationship Id="rId59" Type="http://schemas.openxmlformats.org/officeDocument/2006/relationships/hyperlink" Target="https://www.instagram.com/reel/C7oqyD2Kf4W/" TargetMode="External"/><Relationship Id="rId14" Type="http://schemas.openxmlformats.org/officeDocument/2006/relationships/hyperlink" Target="https://www.instagram.com/reel/C3DcsFbRsHz/" TargetMode="External"/><Relationship Id="rId58" Type="http://schemas.openxmlformats.org/officeDocument/2006/relationships/hyperlink" Target="https://www.instagram.com/reel/C7mTog_tBHX/" TargetMode="External"/><Relationship Id="rId17" Type="http://schemas.openxmlformats.org/officeDocument/2006/relationships/hyperlink" Target="https://www.instagram.com/p/C3QpMQOPMwl/" TargetMode="External"/><Relationship Id="rId16" Type="http://schemas.openxmlformats.org/officeDocument/2006/relationships/hyperlink" Target="https://www.instagram.com/reel/C3ImPEJpYWA/" TargetMode="External"/><Relationship Id="rId19" Type="http://schemas.openxmlformats.org/officeDocument/2006/relationships/hyperlink" Target="https://www.instagram.com/reel/C3VzapovU7d/" TargetMode="External"/><Relationship Id="rId18" Type="http://schemas.openxmlformats.org/officeDocument/2006/relationships/hyperlink" Target="https://www.instagram.com/p/C3VekwWJt3d/" TargetMode="Externa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1" Type="http://schemas.openxmlformats.org/officeDocument/2006/relationships/hyperlink" Target="https://www.tiktok.com/@logitech/video/7320289916196244779?utm_campaign=tt4d_open_api&amp;utm_source=6998599483726495745" TargetMode="External"/><Relationship Id="rId2" Type="http://schemas.openxmlformats.org/officeDocument/2006/relationships/hyperlink" Target="https://www.tiktok.com/@logitech/video/7322190638164954414?utm_campaign=tt4d_open_api&amp;utm_source=6998599483726495745" TargetMode="External"/><Relationship Id="rId3" Type="http://schemas.openxmlformats.org/officeDocument/2006/relationships/hyperlink" Target="https://www.tiktok.com/@logitech/video/7322516179829034286?utm_campaign=tt4d_open_api&amp;utm_source=6998599483726495745" TargetMode="External"/><Relationship Id="rId4" Type="http://schemas.openxmlformats.org/officeDocument/2006/relationships/hyperlink" Target="https://www.tiktok.com/@logitech/video/7322887997475556651?utm_campaign=tt4d_open_api&amp;utm_source=6998599483726495745" TargetMode="External"/><Relationship Id="rId9" Type="http://schemas.openxmlformats.org/officeDocument/2006/relationships/hyperlink" Target="https://www.tiktok.com/@logitech/video/7326985723838745902?utm_campaign=tt4d_open_api&amp;utm_source=6998599483726495745" TargetMode="External"/><Relationship Id="rId5" Type="http://schemas.openxmlformats.org/officeDocument/2006/relationships/hyperlink" Target="https://www.tiktok.com/@logitech/video/7323257940431932718?utm_campaign=tt4d_open_api&amp;utm_source=6998599483726495745" TargetMode="External"/><Relationship Id="rId6" Type="http://schemas.openxmlformats.org/officeDocument/2006/relationships/hyperlink" Target="https://www.tiktok.com/@logitech/video/7324803192511008046?utm_campaign=tt4d_open_api&amp;utm_source=6998599483726495745" TargetMode="External"/><Relationship Id="rId7" Type="http://schemas.openxmlformats.org/officeDocument/2006/relationships/hyperlink" Target="https://www.tiktok.com/@logitech/video/7325484429844172078?utm_campaign=tt4d_open_api&amp;utm_source=6998599483726495745" TargetMode="External"/><Relationship Id="rId8" Type="http://schemas.openxmlformats.org/officeDocument/2006/relationships/hyperlink" Target="https://www.tiktok.com/@logitech/video/7325916773294017838?utm_campaign=tt4d_open_api&amp;utm_source=6998599483726495745" TargetMode="External"/><Relationship Id="rId31" Type="http://schemas.openxmlformats.org/officeDocument/2006/relationships/hyperlink" Target="https://www.tiktok.com/@logitech/video/7351444606246014250?utm_campaign=tt4d_open_api&amp;utm_source=6998599483726495745" TargetMode="External"/><Relationship Id="rId30" Type="http://schemas.openxmlformats.org/officeDocument/2006/relationships/hyperlink" Target="https://www.tiktok.com/@logitech/video/7350748764128234795?utm_campaign=tt4d_open_api&amp;utm_source=6998599483726495745" TargetMode="External"/><Relationship Id="rId33" Type="http://schemas.openxmlformats.org/officeDocument/2006/relationships/hyperlink" Target="https://www.tiktok.com/@logitech/video/7351862184328170794?utm_campaign=tt4d_open_api&amp;utm_source=6998599483726495745" TargetMode="External"/><Relationship Id="rId32" Type="http://schemas.openxmlformats.org/officeDocument/2006/relationships/hyperlink" Target="https://www.tiktok.com/@logitech/video/7351490846841146667?utm_campaign=tt4d_open_api&amp;utm_source=6998599483726495745" TargetMode="External"/><Relationship Id="rId35" Type="http://schemas.openxmlformats.org/officeDocument/2006/relationships/hyperlink" Target="https://www.tiktok.com/@logitech/video/7370349970882432299?utm_campaign=tt4d_open_api&amp;utm_source=6998599483726495745" TargetMode="External"/><Relationship Id="rId34" Type="http://schemas.openxmlformats.org/officeDocument/2006/relationships/hyperlink" Target="https://www.tiktok.com/@logitech/video/7369340586538700075?utm_campaign=tt4d_open_api&amp;utm_source=6998599483726495745" TargetMode="External"/><Relationship Id="rId37" Type="http://schemas.openxmlformats.org/officeDocument/2006/relationships/hyperlink" Target="https://www.tiktok.com/@logitech/video/7379651104440634666?utm_campaign=tt4d_open_api&amp;utm_source=6998599483726495745" TargetMode="External"/><Relationship Id="rId36" Type="http://schemas.openxmlformats.org/officeDocument/2006/relationships/hyperlink" Target="https://www.tiktok.com/@logitech/video/7377844394193472810?utm_campaign=tt4d_open_api&amp;utm_source=6998599483726495745" TargetMode="External"/><Relationship Id="rId39" Type="http://schemas.openxmlformats.org/officeDocument/2006/relationships/hyperlink" Target="https://www.tiktok.com/@logitech/video/7385208899378482475?utm_campaign=tt4d_open_api&amp;utm_source=6998599483726495745" TargetMode="External"/><Relationship Id="rId38" Type="http://schemas.openxmlformats.org/officeDocument/2006/relationships/hyperlink" Target="https://www.tiktok.com/@logitech/video/7381102520753605934?utm_campaign=tt4d_open_api&amp;utm_source=6998599483726495745" TargetMode="External"/><Relationship Id="rId20" Type="http://schemas.openxmlformats.org/officeDocument/2006/relationships/hyperlink" Target="https://www.tiktok.com/@logitech/video/7337777437062860063?utm_campaign=tt4d_open_api&amp;utm_source=6998599483726495745" TargetMode="External"/><Relationship Id="rId22" Type="http://schemas.openxmlformats.org/officeDocument/2006/relationships/hyperlink" Target="https://www.tiktok.com/@logitech/video/7341487562608921898?utm_campaign=tt4d_open_api&amp;utm_source=6998599483726495745" TargetMode="External"/><Relationship Id="rId21" Type="http://schemas.openxmlformats.org/officeDocument/2006/relationships/hyperlink" Target="https://www.tiktok.com/@logitech/video/7338476189180251438?utm_campaign=tt4d_open_api&amp;utm_source=6998599483726495745" TargetMode="External"/><Relationship Id="rId24" Type="http://schemas.openxmlformats.org/officeDocument/2006/relationships/hyperlink" Target="https://www.tiktok.com/@logitech/video/7344084933817797931?utm_campaign=tt4d_open_api&amp;utm_source=6998599483726495745" TargetMode="External"/><Relationship Id="rId23" Type="http://schemas.openxmlformats.org/officeDocument/2006/relationships/hyperlink" Target="https://www.tiktok.com/@logitech/video/7341440842390834475?utm_campaign=tt4d_open_api&amp;utm_source=6998599483726495745" TargetMode="External"/><Relationship Id="rId26" Type="http://schemas.openxmlformats.org/officeDocument/2006/relationships/hyperlink" Target="https://www.tiktok.com/@logitech/video/7345507027755617579?utm_campaign=tt4d_open_api&amp;utm_source=6998599483726495745" TargetMode="External"/><Relationship Id="rId25" Type="http://schemas.openxmlformats.org/officeDocument/2006/relationships/hyperlink" Target="https://www.tiktok.com/@logitech/video/7345182631337790763?utm_campaign=tt4d_open_api&amp;utm_source=6998599483726495745" TargetMode="External"/><Relationship Id="rId28" Type="http://schemas.openxmlformats.org/officeDocument/2006/relationships/hyperlink" Target="https://www.tiktok.com/@logitech/video/7349217975091875118?utm_campaign=tt4d_open_api&amp;utm_source=6998599483726495745" TargetMode="External"/><Relationship Id="rId27" Type="http://schemas.openxmlformats.org/officeDocument/2006/relationships/hyperlink" Target="https://www.tiktok.com/@logitech/video/7346620844669406506?utm_campaign=tt4d_open_api&amp;utm_source=6998599483726495745" TargetMode="External"/><Relationship Id="rId29" Type="http://schemas.openxmlformats.org/officeDocument/2006/relationships/hyperlink" Target="https://www.tiktok.com/@logitech/video/7350386400954420522?utm_campaign=tt4d_open_api&amp;utm_source=6998599483726495745" TargetMode="External"/><Relationship Id="rId11" Type="http://schemas.openxmlformats.org/officeDocument/2006/relationships/hyperlink" Target="https://www.tiktok.com/@logitech/video/7328081577798470958?utm_campaign=tt4d_open_api&amp;utm_source=6998599483726495745" TargetMode="External"/><Relationship Id="rId10" Type="http://schemas.openxmlformats.org/officeDocument/2006/relationships/hyperlink" Target="https://www.tiktok.com/@logitech/video/7327339551423384878?utm_campaign=tt4d_open_api&amp;utm_source=6998599483726495745" TargetMode="External"/><Relationship Id="rId13" Type="http://schemas.openxmlformats.org/officeDocument/2006/relationships/hyperlink" Target="https://www.tiktok.com/@logitech/video/7328824978403527979?utm_campaign=tt4d_open_api&amp;utm_source=6998599483726495745" TargetMode="External"/><Relationship Id="rId12" Type="http://schemas.openxmlformats.org/officeDocument/2006/relationships/hyperlink" Target="https://www.tiktok.com/@logitech/video/7328459753720499498?utm_campaign=tt4d_open_api&amp;utm_source=6998599483726495745" TargetMode="External"/><Relationship Id="rId15" Type="http://schemas.openxmlformats.org/officeDocument/2006/relationships/hyperlink" Target="https://www.tiktok.com/@logitech/video/7332905789587311918?utm_campaign=tt4d_open_api&amp;utm_source=6998599483726495745" TargetMode="External"/><Relationship Id="rId14" Type="http://schemas.openxmlformats.org/officeDocument/2006/relationships/hyperlink" Target="https://www.tiktok.com/@logitech/video/7330358089348058414?utm_campaign=tt4d_open_api&amp;utm_source=6998599483726495745" TargetMode="External"/><Relationship Id="rId17" Type="http://schemas.openxmlformats.org/officeDocument/2006/relationships/hyperlink" Target="https://www.tiktok.com/@logitech/video/7333647724497177898?utm_campaign=tt4d_open_api&amp;utm_source=6998599483726495745" TargetMode="External"/><Relationship Id="rId16" Type="http://schemas.openxmlformats.org/officeDocument/2006/relationships/hyperlink" Target="https://www.tiktok.com/@logitech/video/7333324122077924650?utm_campaign=tt4d_open_api&amp;utm_source=6998599483726495745" TargetMode="External"/><Relationship Id="rId19" Type="http://schemas.openxmlformats.org/officeDocument/2006/relationships/hyperlink" Target="https://www.tiktok.com/@logitech/video/7335506013669379370?utm_campaign=tt4d_open_api&amp;utm_source=6998599483726495745" TargetMode="External"/><Relationship Id="rId18" Type="http://schemas.openxmlformats.org/officeDocument/2006/relationships/hyperlink" Target="https://www.tiktok.com/@logitech/video/7335552006477696299?utm_campaign=tt4d_open_api&amp;utm_source=699859948372649574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facebook.com/653982650108774/posts/806257634881274" TargetMode="External"/><Relationship Id="rId2" Type="http://schemas.openxmlformats.org/officeDocument/2006/relationships/hyperlink" Target="https://www.facebook.com/video.php?v=909524867847142" TargetMode="External"/><Relationship Id="rId3" Type="http://schemas.openxmlformats.org/officeDocument/2006/relationships/hyperlink" Target="https://www.facebook.com/653982650108774/posts/808019231371781" TargetMode="External"/><Relationship Id="rId4" Type="http://schemas.openxmlformats.org/officeDocument/2006/relationships/hyperlink" Target="https://www.facebook.com/video.php?v=1476498189877230" TargetMode="External"/><Relationship Id="rId9" Type="http://schemas.openxmlformats.org/officeDocument/2006/relationships/hyperlink" Target="https://www.facebook.com/video.php?v=944675100607127" TargetMode="External"/><Relationship Id="rId5" Type="http://schemas.openxmlformats.org/officeDocument/2006/relationships/hyperlink" Target="https://www.facebook.com/video.php?v=402334985858274" TargetMode="External"/><Relationship Id="rId6" Type="http://schemas.openxmlformats.org/officeDocument/2006/relationships/hyperlink" Target="https://www.facebook.com/video.php?v=1838799003238734" TargetMode="External"/><Relationship Id="rId7" Type="http://schemas.openxmlformats.org/officeDocument/2006/relationships/hyperlink" Target="https://www.facebook.com/video.php?v=3652977288275174" TargetMode="External"/><Relationship Id="rId8" Type="http://schemas.openxmlformats.org/officeDocument/2006/relationships/hyperlink" Target="https://www.facebook.com/video.php?v=318994337463175" TargetMode="External"/><Relationship Id="rId20" Type="http://schemas.openxmlformats.org/officeDocument/2006/relationships/hyperlink" Target="https://www.facebook.com/653982650108774/posts/856914706482233" TargetMode="External"/><Relationship Id="rId22" Type="http://schemas.openxmlformats.org/officeDocument/2006/relationships/hyperlink" Target="https://www.facebook.com/video.php?v=421589114171101" TargetMode="External"/><Relationship Id="rId21" Type="http://schemas.openxmlformats.org/officeDocument/2006/relationships/hyperlink" Target="https://www.facebook.com/video.php?v=314160441734347" TargetMode="External"/><Relationship Id="rId24" Type="http://schemas.openxmlformats.org/officeDocument/2006/relationships/hyperlink" Target="https://www.facebook.com/video.php?v=340186605581365" TargetMode="External"/><Relationship Id="rId23" Type="http://schemas.openxmlformats.org/officeDocument/2006/relationships/hyperlink" Target="https://www.facebook.com/video.php?v=860990715862834" TargetMode="External"/><Relationship Id="rId26" Type="http://schemas.openxmlformats.org/officeDocument/2006/relationships/hyperlink" Target="https://www.facebook.com/653982650108774/posts/881970333976670" TargetMode="External"/><Relationship Id="rId25" Type="http://schemas.openxmlformats.org/officeDocument/2006/relationships/hyperlink" Target="https://www.facebook.com/video.php?v=372569505839453" TargetMode="External"/><Relationship Id="rId28" Type="http://schemas.openxmlformats.org/officeDocument/2006/relationships/hyperlink" Target="https://www.facebook.com/video.php?v=1411118836233868" TargetMode="External"/><Relationship Id="rId27" Type="http://schemas.openxmlformats.org/officeDocument/2006/relationships/hyperlink" Target="https://www.facebook.com/video.php?v=311633345352614" TargetMode="External"/><Relationship Id="rId29" Type="http://schemas.openxmlformats.org/officeDocument/2006/relationships/drawing" Target="../drawings/drawing3.xml"/><Relationship Id="rId11" Type="http://schemas.openxmlformats.org/officeDocument/2006/relationships/hyperlink" Target="https://www.facebook.com/653982650108774/posts/825950792911958" TargetMode="External"/><Relationship Id="rId10" Type="http://schemas.openxmlformats.org/officeDocument/2006/relationships/hyperlink" Target="https://www.facebook.com/video.php?v=453566840428626" TargetMode="External"/><Relationship Id="rId13" Type="http://schemas.openxmlformats.org/officeDocument/2006/relationships/hyperlink" Target="https://www.facebook.com/video.php?v=1216865485959028" TargetMode="External"/><Relationship Id="rId12" Type="http://schemas.openxmlformats.org/officeDocument/2006/relationships/hyperlink" Target="https://www.facebook.com/video.php?v=1513113059268395" TargetMode="External"/><Relationship Id="rId15" Type="http://schemas.openxmlformats.org/officeDocument/2006/relationships/hyperlink" Target="https://www.facebook.com/653982650108774/posts/838036725036698" TargetMode="External"/><Relationship Id="rId14" Type="http://schemas.openxmlformats.org/officeDocument/2006/relationships/hyperlink" Target="https://www.facebook.com/video.php?v=1682226012183739" TargetMode="External"/><Relationship Id="rId17" Type="http://schemas.openxmlformats.org/officeDocument/2006/relationships/hyperlink" Target="https://www.facebook.com/653982650108774/posts/839474991559538" TargetMode="External"/><Relationship Id="rId16" Type="http://schemas.openxmlformats.org/officeDocument/2006/relationships/hyperlink" Target="https://www.facebook.com/video.php?v=1333939247281194" TargetMode="External"/><Relationship Id="rId19" Type="http://schemas.openxmlformats.org/officeDocument/2006/relationships/hyperlink" Target="https://www.facebook.com/653982650108774/posts/854933113347059" TargetMode="External"/><Relationship Id="rId18" Type="http://schemas.openxmlformats.org/officeDocument/2006/relationships/hyperlink" Target="https://www.facebook.com/653982650108774/posts/842720644568306"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nkedin.com/feed/update/urn:li:ugcPost:7204596116380606464" TargetMode="External"/><Relationship Id="rId42" Type="http://schemas.openxmlformats.org/officeDocument/2006/relationships/hyperlink" Target="https://www.linkedin.com/feed/update/urn:li:share:7206696532157366272" TargetMode="External"/><Relationship Id="rId41" Type="http://schemas.openxmlformats.org/officeDocument/2006/relationships/hyperlink" Target="https://www.linkedin.com/feed/update/urn:li:ugcPost:7206476144261365760" TargetMode="External"/><Relationship Id="rId44" Type="http://schemas.openxmlformats.org/officeDocument/2006/relationships/hyperlink" Target="https://www.linkedin.com/feed/update/urn:li:ugcPost:7207531670881599488" TargetMode="External"/><Relationship Id="rId43" Type="http://schemas.openxmlformats.org/officeDocument/2006/relationships/hyperlink" Target="https://www.linkedin.com/feed/update/urn:li:ugcPost:7207154997292126208" TargetMode="External"/><Relationship Id="rId46" Type="http://schemas.openxmlformats.org/officeDocument/2006/relationships/hyperlink" Target="https://www.linkedin.com/feed/update/urn:li:ugcPost:7209555950184140802" TargetMode="External"/><Relationship Id="rId45" Type="http://schemas.openxmlformats.org/officeDocument/2006/relationships/hyperlink" Target="https://www.linkedin.com/feed/update/urn:li:ugcPost:7208816093308600320" TargetMode="External"/><Relationship Id="rId1" Type="http://schemas.openxmlformats.org/officeDocument/2006/relationships/hyperlink" Target="https://www.linkedin.com/feed/update/urn:li:ugcPost:7151624716078698496" TargetMode="External"/><Relationship Id="rId2" Type="http://schemas.openxmlformats.org/officeDocument/2006/relationships/hyperlink" Target="https://www.linkedin.com/feed/update/urn:li:ugcPost:7153512724113580033" TargetMode="External"/><Relationship Id="rId3" Type="http://schemas.openxmlformats.org/officeDocument/2006/relationships/hyperlink" Target="https://www.linkedin.com/feed/update/urn:li:share:7155559942354071552" TargetMode="External"/><Relationship Id="rId4" Type="http://schemas.openxmlformats.org/officeDocument/2006/relationships/hyperlink" Target="https://www.linkedin.com/feed/update/urn:li:share:7166552524601167874" TargetMode="External"/><Relationship Id="rId9" Type="http://schemas.openxmlformats.org/officeDocument/2006/relationships/hyperlink" Target="https://www.linkedin.com/feed/update/urn:li:share:7171631502516973569" TargetMode="External"/><Relationship Id="rId48" Type="http://schemas.openxmlformats.org/officeDocument/2006/relationships/hyperlink" Target="https://www.linkedin.com/feed/update/urn:li:ugcPost:7211998021612417025" TargetMode="External"/><Relationship Id="rId47" Type="http://schemas.openxmlformats.org/officeDocument/2006/relationships/hyperlink" Target="https://www.linkedin.com/feed/update/urn:li:ugcPost:7210663361686958080" TargetMode="External"/><Relationship Id="rId49" Type="http://schemas.openxmlformats.org/officeDocument/2006/relationships/drawing" Target="../drawings/drawing4.xml"/><Relationship Id="rId5" Type="http://schemas.openxmlformats.org/officeDocument/2006/relationships/hyperlink" Target="https://www.linkedin.com/feed/update/urn:li:ugcPost:7168244089191157763" TargetMode="External"/><Relationship Id="rId6" Type="http://schemas.openxmlformats.org/officeDocument/2006/relationships/hyperlink" Target="https://www.linkedin.com/feed/update/urn:li:ugcPost:7169021327935229956" TargetMode="External"/><Relationship Id="rId7" Type="http://schemas.openxmlformats.org/officeDocument/2006/relationships/hyperlink" Target="https://www.linkedin.com/feed/update/urn:li:ugcPost:7171143013291814913" TargetMode="External"/><Relationship Id="rId8" Type="http://schemas.openxmlformats.org/officeDocument/2006/relationships/hyperlink" Target="https://www.linkedin.com/feed/update/urn:li:ugcPost:7171550349856550913" TargetMode="External"/><Relationship Id="rId31" Type="http://schemas.openxmlformats.org/officeDocument/2006/relationships/hyperlink" Target="https://www.linkedin.com/feed/update/urn:li:ugcPost:7195785113371123713" TargetMode="External"/><Relationship Id="rId30" Type="http://schemas.openxmlformats.org/officeDocument/2006/relationships/hyperlink" Target="https://www.linkedin.com/feed/update/urn:li:ugcPost:7194697885660160000" TargetMode="External"/><Relationship Id="rId33" Type="http://schemas.openxmlformats.org/officeDocument/2006/relationships/hyperlink" Target="https://www.linkedin.com/feed/update/urn:li:share:7198865273850900480" TargetMode="External"/><Relationship Id="rId32" Type="http://schemas.openxmlformats.org/officeDocument/2006/relationships/hyperlink" Target="https://www.linkedin.com/feed/update/urn:li:ugcPost:7196220225434836992" TargetMode="External"/><Relationship Id="rId35" Type="http://schemas.openxmlformats.org/officeDocument/2006/relationships/hyperlink" Target="https://www.linkedin.com/feed/update/urn:li:ugcPost:7201749285518942208" TargetMode="External"/><Relationship Id="rId34" Type="http://schemas.openxmlformats.org/officeDocument/2006/relationships/hyperlink" Target="https://www.linkedin.com/feed/update/urn:li:ugcPost:7199060155269869569" TargetMode="External"/><Relationship Id="rId37" Type="http://schemas.openxmlformats.org/officeDocument/2006/relationships/hyperlink" Target="https://www.linkedin.com/feed/update/urn:li:ugcPost:7201976192474750978" TargetMode="External"/><Relationship Id="rId36" Type="http://schemas.openxmlformats.org/officeDocument/2006/relationships/hyperlink" Target="https://www.linkedin.com/feed/update/urn:li:ugcPost:7201991226902863873" TargetMode="External"/><Relationship Id="rId39" Type="http://schemas.openxmlformats.org/officeDocument/2006/relationships/hyperlink" Target="https://www.linkedin.com/feed/update/urn:li:ugcPost:7204180170860027906" TargetMode="External"/><Relationship Id="rId38" Type="http://schemas.openxmlformats.org/officeDocument/2006/relationships/hyperlink" Target="https://www.linkedin.com/feed/update/urn:li:ugcPost:7202308408497090561" TargetMode="External"/><Relationship Id="rId20" Type="http://schemas.openxmlformats.org/officeDocument/2006/relationships/hyperlink" Target="https://www.linkedin.com/feed/update/urn:li:ugcPost:7179590807782371328" TargetMode="External"/><Relationship Id="rId22" Type="http://schemas.openxmlformats.org/officeDocument/2006/relationships/hyperlink" Target="https://www.linkedin.com/feed/update/urn:li:share:7181466826810302466" TargetMode="External"/><Relationship Id="rId21" Type="http://schemas.openxmlformats.org/officeDocument/2006/relationships/hyperlink" Target="https://www.linkedin.com/feed/update/urn:li:ugcPost:7180942257292804097" TargetMode="External"/><Relationship Id="rId24" Type="http://schemas.openxmlformats.org/officeDocument/2006/relationships/hyperlink" Target="https://www.linkedin.com/feed/update/urn:li:ugcPost:7186390598357061632" TargetMode="External"/><Relationship Id="rId23" Type="http://schemas.openxmlformats.org/officeDocument/2006/relationships/hyperlink" Target="https://www.linkedin.com/feed/update/urn:li:ugcPost:7181984058908839936" TargetMode="External"/><Relationship Id="rId26" Type="http://schemas.openxmlformats.org/officeDocument/2006/relationships/hyperlink" Target="https://www.linkedin.com/feed/update/urn:li:ugcPost:7188221562796273664" TargetMode="External"/><Relationship Id="rId25" Type="http://schemas.openxmlformats.org/officeDocument/2006/relationships/hyperlink" Target="https://www.linkedin.com/feed/update/urn:li:ugcPost:7186695088218038272" TargetMode="External"/><Relationship Id="rId28" Type="http://schemas.openxmlformats.org/officeDocument/2006/relationships/hyperlink" Target="https://www.linkedin.com/feed/update/urn:li:share:7190896136633610240" TargetMode="External"/><Relationship Id="rId27" Type="http://schemas.openxmlformats.org/officeDocument/2006/relationships/hyperlink" Target="https://www.linkedin.com/feed/update/urn:li:ugcPost:7188280569288450048" TargetMode="External"/><Relationship Id="rId29" Type="http://schemas.openxmlformats.org/officeDocument/2006/relationships/hyperlink" Target="https://www.linkedin.com/feed/update/urn:li:ugcPost:7194754618826924032" TargetMode="External"/><Relationship Id="rId11" Type="http://schemas.openxmlformats.org/officeDocument/2006/relationships/hyperlink" Target="https://www.linkedin.com/feed/update/urn:li:share:7171902651557666817" TargetMode="External"/><Relationship Id="rId10" Type="http://schemas.openxmlformats.org/officeDocument/2006/relationships/hyperlink" Target="https://www.linkedin.com/feed/update/urn:li:ugcPost:7171419893618196480" TargetMode="External"/><Relationship Id="rId13" Type="http://schemas.openxmlformats.org/officeDocument/2006/relationships/hyperlink" Target="https://www.linkedin.com/feed/update/urn:li:share:7173780766311604225" TargetMode="External"/><Relationship Id="rId12" Type="http://schemas.openxmlformats.org/officeDocument/2006/relationships/hyperlink" Target="https://www.linkedin.com/feed/update/urn:li:ugcPost:7172984789300441088" TargetMode="External"/><Relationship Id="rId15" Type="http://schemas.openxmlformats.org/officeDocument/2006/relationships/hyperlink" Target="https://www.linkedin.com/feed/update/urn:li:share:7174135659530481664" TargetMode="External"/><Relationship Id="rId14" Type="http://schemas.openxmlformats.org/officeDocument/2006/relationships/hyperlink" Target="https://www.linkedin.com/feed/update/urn:li:ugcPost:7173754981647310848" TargetMode="External"/><Relationship Id="rId17" Type="http://schemas.openxmlformats.org/officeDocument/2006/relationships/hyperlink" Target="https://www.linkedin.com/feed/update/urn:li:ugcPost:7174457143029297152" TargetMode="External"/><Relationship Id="rId16" Type="http://schemas.openxmlformats.org/officeDocument/2006/relationships/hyperlink" Target="https://www.linkedin.com/feed/update/urn:li:ugcPost:7174453300153495552" TargetMode="External"/><Relationship Id="rId19" Type="http://schemas.openxmlformats.org/officeDocument/2006/relationships/hyperlink" Target="https://www.linkedin.com/feed/update/urn:li:share:7179228323447721986" TargetMode="External"/><Relationship Id="rId18" Type="http://schemas.openxmlformats.org/officeDocument/2006/relationships/hyperlink" Target="https://www.linkedin.com/feed/update/urn:li:ugcPost:717873817967025766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7.5"/>
    <col customWidth="1" min="3" max="3" width="20.5"/>
    <col customWidth="1" min="4" max="4" width="13.13"/>
    <col customWidth="1" min="5" max="5" width="28.63"/>
    <col customWidth="1" min="7" max="7" width="8.63"/>
    <col customWidth="1" min="8" max="8" width="9.38"/>
    <col customWidth="1" min="9" max="9" width="16.63"/>
    <col customWidth="1" min="10" max="10" width="26.63"/>
    <col customWidth="1" min="11" max="11" width="25.5"/>
    <col customWidth="1" min="12" max="12" width="49.75"/>
    <col customWidth="1" min="13" max="13" width="17.63"/>
    <col customWidth="1" min="14" max="14" width="13.38"/>
    <col customWidth="1" min="15" max="15" width="13.5"/>
    <col customWidth="1" min="16" max="16" width="17.63"/>
    <col customWidth="1" min="17" max="17" width="7.75"/>
    <col customWidth="1" min="18" max="18" width="12.13"/>
    <col customWidth="1" min="19" max="19" width="9.0"/>
    <col customWidth="1" min="20" max="20" width="8.38"/>
    <col customWidth="1" min="21" max="21" width="13.13"/>
  </cols>
  <sheetData>
    <row r="1">
      <c r="A1" s="1" t="s">
        <v>0</v>
      </c>
      <c r="B1" s="2" t="s">
        <v>1</v>
      </c>
      <c r="C1" s="3" t="s">
        <v>2</v>
      </c>
      <c r="D1" s="1" t="s">
        <v>3</v>
      </c>
      <c r="E1" s="1" t="s">
        <v>4</v>
      </c>
      <c r="F1" s="1" t="s">
        <v>5</v>
      </c>
      <c r="G1" s="4" t="s">
        <v>6</v>
      </c>
      <c r="H1" s="4" t="s">
        <v>7</v>
      </c>
      <c r="I1" s="5" t="s">
        <v>8</v>
      </c>
      <c r="J1" s="5" t="s">
        <v>9</v>
      </c>
      <c r="K1" s="1" t="s">
        <v>10</v>
      </c>
      <c r="L1" s="1" t="s">
        <v>11</v>
      </c>
      <c r="M1" s="1" t="s">
        <v>12</v>
      </c>
      <c r="N1" s="1" t="s">
        <v>13</v>
      </c>
      <c r="O1" s="1" t="s">
        <v>14</v>
      </c>
      <c r="P1" s="6" t="s">
        <v>15</v>
      </c>
      <c r="Q1" s="1" t="s">
        <v>16</v>
      </c>
      <c r="R1" s="1" t="s">
        <v>17</v>
      </c>
      <c r="S1" s="1" t="s">
        <v>18</v>
      </c>
      <c r="T1" s="1" t="s">
        <v>19</v>
      </c>
      <c r="U1" s="1" t="s">
        <v>20</v>
      </c>
      <c r="V1" s="7"/>
      <c r="W1" s="7"/>
      <c r="X1" s="7"/>
      <c r="Y1" s="7"/>
      <c r="Z1" s="7"/>
      <c r="AA1" s="7"/>
      <c r="AB1" s="7"/>
      <c r="AC1" s="7"/>
      <c r="AD1" s="7"/>
      <c r="AE1" s="7"/>
    </row>
    <row r="2">
      <c r="A2" s="8" t="str">
        <f t="shared" ref="A2:A71" si="1">"Q"&amp;INT((MONTH(B2)+2)/3)</f>
        <v>Q1</v>
      </c>
      <c r="B2" s="8">
        <f t="shared" ref="B2:B71" si="2">VALUE(LEFT(C2,10))</f>
        <v>45295</v>
      </c>
      <c r="C2" s="9" t="s">
        <v>21</v>
      </c>
      <c r="D2" s="9">
        <f t="shared" ref="D2:D43" si="3">INT(DATEVALUE(SUBSTITUTE(C2, " GMT", "")))</f>
        <v>45295</v>
      </c>
      <c r="E2" s="9" t="str">
        <f t="shared" ref="E2:E43" si="4">TEXT(VALUE(SUBSTITUTE(TRIM(MID(C2, FIND(" ", C2) + 1, LEN(C2))), " GMT", "")) + TIME(1,0,0), "hh:mm AM/PM") &amp; " BST"</f>
        <v>06:02 PM BST</v>
      </c>
      <c r="F2" s="10" t="s">
        <v>22</v>
      </c>
      <c r="G2" s="11" t="s">
        <v>23</v>
      </c>
      <c r="H2" s="11" t="s">
        <v>24</v>
      </c>
      <c r="I2" s="12">
        <v>1.0</v>
      </c>
      <c r="J2" s="12" t="s">
        <v>25</v>
      </c>
      <c r="K2" s="10" t="s">
        <v>26</v>
      </c>
      <c r="L2" s="13" t="s">
        <v>27</v>
      </c>
      <c r="M2" s="10">
        <f t="shared" ref="M2:M71" si="5">IF(F2="Carousel",N2,N2+U2)</f>
        <v>48111</v>
      </c>
      <c r="N2" s="10">
        <v>0.0</v>
      </c>
      <c r="O2" s="10">
        <v>1319.0</v>
      </c>
      <c r="P2" s="14">
        <f t="shared" ref="P2:P71" si="6">O2/M2</f>
        <v>0.0274157677</v>
      </c>
      <c r="Q2" s="10">
        <v>1137.0</v>
      </c>
      <c r="R2" s="10">
        <v>26.0</v>
      </c>
      <c r="S2" s="10">
        <v>50.0</v>
      </c>
      <c r="T2" s="10">
        <v>106.0</v>
      </c>
      <c r="U2" s="10">
        <v>48111.0</v>
      </c>
    </row>
    <row r="3">
      <c r="A3" s="8" t="str">
        <f t="shared" si="1"/>
        <v>Q1</v>
      </c>
      <c r="B3" s="8">
        <f t="shared" si="2"/>
        <v>45300</v>
      </c>
      <c r="C3" s="9" t="s">
        <v>28</v>
      </c>
      <c r="D3" s="9">
        <f t="shared" si="3"/>
        <v>45300</v>
      </c>
      <c r="E3" s="9" t="str">
        <f t="shared" si="4"/>
        <v>06:00 PM BST</v>
      </c>
      <c r="F3" s="10" t="s">
        <v>29</v>
      </c>
      <c r="G3" s="11" t="s">
        <v>23</v>
      </c>
      <c r="H3" s="11" t="s">
        <v>23</v>
      </c>
      <c r="I3" s="12">
        <v>2.0</v>
      </c>
      <c r="J3" s="12" t="s">
        <v>30</v>
      </c>
      <c r="K3" s="10" t="s">
        <v>31</v>
      </c>
      <c r="L3" s="13" t="s">
        <v>32</v>
      </c>
      <c r="M3" s="10">
        <f t="shared" si="5"/>
        <v>19052</v>
      </c>
      <c r="N3" s="10">
        <v>19052.0</v>
      </c>
      <c r="O3" s="10">
        <v>315.0</v>
      </c>
      <c r="P3" s="14">
        <f t="shared" si="6"/>
        <v>0.01653369725</v>
      </c>
      <c r="Q3" s="10">
        <v>285.0</v>
      </c>
      <c r="R3" s="10">
        <v>13.0</v>
      </c>
      <c r="S3" s="10">
        <v>0.0</v>
      </c>
      <c r="T3" s="10">
        <v>17.0</v>
      </c>
      <c r="U3" s="10">
        <v>0.0</v>
      </c>
    </row>
    <row r="4">
      <c r="A4" s="8" t="str">
        <f t="shared" si="1"/>
        <v>Q1</v>
      </c>
      <c r="B4" s="8">
        <f t="shared" si="2"/>
        <v>45301</v>
      </c>
      <c r="C4" s="9" t="s">
        <v>33</v>
      </c>
      <c r="D4" s="9">
        <f t="shared" si="3"/>
        <v>45301</v>
      </c>
      <c r="E4" s="9" t="str">
        <f t="shared" si="4"/>
        <v>06:00 PM BST</v>
      </c>
      <c r="F4" s="10" t="s">
        <v>22</v>
      </c>
      <c r="G4" s="11" t="s">
        <v>23</v>
      </c>
      <c r="H4" s="11" t="s">
        <v>23</v>
      </c>
      <c r="I4" s="12">
        <v>3.0</v>
      </c>
      <c r="J4" s="12" t="s">
        <v>34</v>
      </c>
      <c r="K4" s="10" t="s">
        <v>35</v>
      </c>
      <c r="L4" s="13" t="s">
        <v>36</v>
      </c>
      <c r="M4" s="10">
        <f t="shared" si="5"/>
        <v>53719</v>
      </c>
      <c r="N4" s="10">
        <v>0.0</v>
      </c>
      <c r="O4" s="10">
        <v>1189.0</v>
      </c>
      <c r="P4" s="14">
        <f t="shared" si="6"/>
        <v>0.02213369571</v>
      </c>
      <c r="Q4" s="10">
        <v>1067.0</v>
      </c>
      <c r="R4" s="10">
        <v>17.0</v>
      </c>
      <c r="S4" s="10">
        <v>31.0</v>
      </c>
      <c r="T4" s="10">
        <v>74.0</v>
      </c>
      <c r="U4" s="10">
        <v>53719.0</v>
      </c>
    </row>
    <row r="5">
      <c r="A5" s="8" t="str">
        <f t="shared" si="1"/>
        <v>Q1</v>
      </c>
      <c r="B5" s="8">
        <f t="shared" si="2"/>
        <v>45303</v>
      </c>
      <c r="C5" s="9" t="s">
        <v>37</v>
      </c>
      <c r="D5" s="9">
        <f t="shared" si="3"/>
        <v>45303</v>
      </c>
      <c r="E5" s="9" t="str">
        <f t="shared" si="4"/>
        <v>06:02 PM BST</v>
      </c>
      <c r="F5" s="10" t="s">
        <v>22</v>
      </c>
      <c r="G5" s="11" t="s">
        <v>23</v>
      </c>
      <c r="H5" s="11" t="s">
        <v>24</v>
      </c>
      <c r="I5" s="12">
        <v>4.0</v>
      </c>
      <c r="J5" s="12" t="s">
        <v>38</v>
      </c>
      <c r="K5" s="10" t="s">
        <v>39</v>
      </c>
      <c r="L5" s="13" t="s">
        <v>40</v>
      </c>
      <c r="M5" s="10">
        <f t="shared" si="5"/>
        <v>38719</v>
      </c>
      <c r="N5" s="10">
        <v>0.0</v>
      </c>
      <c r="O5" s="10">
        <v>910.0</v>
      </c>
      <c r="P5" s="14">
        <f t="shared" si="6"/>
        <v>0.02350267311</v>
      </c>
      <c r="Q5" s="10">
        <v>808.0</v>
      </c>
      <c r="R5" s="10">
        <v>14.0</v>
      </c>
      <c r="S5" s="10">
        <v>52.0</v>
      </c>
      <c r="T5" s="10">
        <v>36.0</v>
      </c>
      <c r="U5" s="10">
        <v>38719.0</v>
      </c>
    </row>
    <row r="6">
      <c r="A6" s="8" t="str">
        <f t="shared" si="1"/>
        <v>Q1</v>
      </c>
      <c r="B6" s="8">
        <f t="shared" si="2"/>
        <v>45307</v>
      </c>
      <c r="C6" s="9" t="s">
        <v>41</v>
      </c>
      <c r="D6" s="9">
        <f t="shared" si="3"/>
        <v>45307</v>
      </c>
      <c r="E6" s="9" t="str">
        <f t="shared" si="4"/>
        <v>10:00 PM BST</v>
      </c>
      <c r="F6" s="10" t="s">
        <v>22</v>
      </c>
      <c r="G6" s="11" t="s">
        <v>23</v>
      </c>
      <c r="H6" s="11" t="s">
        <v>24</v>
      </c>
      <c r="I6" s="12">
        <v>5.0</v>
      </c>
      <c r="J6" s="12" t="s">
        <v>42</v>
      </c>
      <c r="K6" s="10" t="s">
        <v>43</v>
      </c>
      <c r="L6" s="13" t="s">
        <v>44</v>
      </c>
      <c r="M6" s="10">
        <f t="shared" si="5"/>
        <v>26786</v>
      </c>
      <c r="N6" s="10">
        <v>0.0</v>
      </c>
      <c r="O6" s="10">
        <v>663.0</v>
      </c>
      <c r="P6" s="14">
        <f t="shared" si="6"/>
        <v>0.02475173598</v>
      </c>
      <c r="Q6" s="10">
        <v>587.0</v>
      </c>
      <c r="R6" s="10">
        <v>5.0</v>
      </c>
      <c r="S6" s="10">
        <v>20.0</v>
      </c>
      <c r="T6" s="10">
        <v>51.0</v>
      </c>
      <c r="U6" s="10">
        <v>26786.0</v>
      </c>
    </row>
    <row r="7">
      <c r="A7" s="8" t="str">
        <f t="shared" si="1"/>
        <v>Q1</v>
      </c>
      <c r="B7" s="8">
        <f t="shared" si="2"/>
        <v>45309</v>
      </c>
      <c r="C7" s="9" t="s">
        <v>45</v>
      </c>
      <c r="D7" s="9">
        <f t="shared" si="3"/>
        <v>45309</v>
      </c>
      <c r="E7" s="9" t="str">
        <f t="shared" si="4"/>
        <v>06:03 PM BST</v>
      </c>
      <c r="F7" s="10" t="s">
        <v>22</v>
      </c>
      <c r="G7" s="11" t="s">
        <v>23</v>
      </c>
      <c r="H7" s="11" t="s">
        <v>24</v>
      </c>
      <c r="I7" s="12">
        <v>6.0</v>
      </c>
      <c r="J7" s="12" t="s">
        <v>25</v>
      </c>
      <c r="K7" s="10" t="s">
        <v>46</v>
      </c>
      <c r="L7" s="13" t="s">
        <v>47</v>
      </c>
      <c r="M7" s="10">
        <f t="shared" si="5"/>
        <v>29032</v>
      </c>
      <c r="N7" s="10">
        <v>0.0</v>
      </c>
      <c r="O7" s="10">
        <v>1219.0</v>
      </c>
      <c r="P7" s="14">
        <f t="shared" si="6"/>
        <v>0.04198815101</v>
      </c>
      <c r="Q7" s="10">
        <v>995.0</v>
      </c>
      <c r="R7" s="10">
        <v>17.0</v>
      </c>
      <c r="S7" s="10">
        <v>41.0</v>
      </c>
      <c r="T7" s="10">
        <v>166.0</v>
      </c>
      <c r="U7" s="10">
        <v>29032.0</v>
      </c>
    </row>
    <row r="8">
      <c r="A8" s="8" t="str">
        <f t="shared" si="1"/>
        <v>Q1</v>
      </c>
      <c r="B8" s="8">
        <f t="shared" si="2"/>
        <v>45314</v>
      </c>
      <c r="C8" s="9" t="s">
        <v>48</v>
      </c>
      <c r="D8" s="9">
        <f t="shared" si="3"/>
        <v>45314</v>
      </c>
      <c r="E8" s="9" t="str">
        <f t="shared" si="4"/>
        <v>05:59 PM BST</v>
      </c>
      <c r="F8" s="10" t="s">
        <v>22</v>
      </c>
      <c r="G8" s="11" t="s">
        <v>23</v>
      </c>
      <c r="H8" s="11" t="s">
        <v>24</v>
      </c>
      <c r="I8" s="12">
        <v>7.0</v>
      </c>
      <c r="J8" s="12" t="s">
        <v>49</v>
      </c>
      <c r="K8" s="10" t="s">
        <v>50</v>
      </c>
      <c r="L8" s="13" t="s">
        <v>51</v>
      </c>
      <c r="M8" s="10">
        <f t="shared" si="5"/>
        <v>18997</v>
      </c>
      <c r="N8" s="10">
        <v>0.0</v>
      </c>
      <c r="O8" s="10">
        <v>315.0</v>
      </c>
      <c r="P8" s="14">
        <f t="shared" si="6"/>
        <v>0.01658156551</v>
      </c>
      <c r="Q8" s="10">
        <v>275.0</v>
      </c>
      <c r="R8" s="10">
        <v>0.0</v>
      </c>
      <c r="S8" s="10">
        <v>13.0</v>
      </c>
      <c r="T8" s="10">
        <v>27.0</v>
      </c>
      <c r="U8" s="10">
        <v>18997.0</v>
      </c>
    </row>
    <row r="9">
      <c r="A9" s="8" t="str">
        <f t="shared" si="1"/>
        <v>Q1</v>
      </c>
      <c r="B9" s="8">
        <f t="shared" si="2"/>
        <v>45316</v>
      </c>
      <c r="C9" s="9" t="s">
        <v>52</v>
      </c>
      <c r="D9" s="9">
        <f t="shared" si="3"/>
        <v>45316</v>
      </c>
      <c r="E9" s="9" t="str">
        <f t="shared" si="4"/>
        <v>06:01 PM BST</v>
      </c>
      <c r="F9" s="10" t="s">
        <v>22</v>
      </c>
      <c r="G9" s="11" t="s">
        <v>23</v>
      </c>
      <c r="H9" s="11" t="s">
        <v>24</v>
      </c>
      <c r="I9" s="12">
        <v>8.0</v>
      </c>
      <c r="J9" s="12" t="s">
        <v>53</v>
      </c>
      <c r="K9" s="10" t="s">
        <v>54</v>
      </c>
      <c r="L9" s="13" t="s">
        <v>55</v>
      </c>
      <c r="M9" s="10">
        <f t="shared" si="5"/>
        <v>64128</v>
      </c>
      <c r="N9" s="10">
        <v>0.0</v>
      </c>
      <c r="O9" s="10">
        <v>2489.0</v>
      </c>
      <c r="P9" s="14">
        <f t="shared" si="6"/>
        <v>0.038812999</v>
      </c>
      <c r="Q9" s="10">
        <v>1916.0</v>
      </c>
      <c r="R9" s="10">
        <v>28.0</v>
      </c>
      <c r="S9" s="10">
        <v>229.0</v>
      </c>
      <c r="T9" s="10">
        <v>316.0</v>
      </c>
      <c r="U9" s="10">
        <v>64128.0</v>
      </c>
    </row>
    <row r="10">
      <c r="A10" s="8" t="str">
        <f t="shared" si="1"/>
        <v>Q1</v>
      </c>
      <c r="B10" s="8">
        <f t="shared" si="2"/>
        <v>45317</v>
      </c>
      <c r="C10" s="9" t="s">
        <v>56</v>
      </c>
      <c r="D10" s="9">
        <f t="shared" si="3"/>
        <v>45317</v>
      </c>
      <c r="E10" s="9" t="str">
        <f t="shared" si="4"/>
        <v>06:25 PM BST</v>
      </c>
      <c r="F10" s="10" t="s">
        <v>22</v>
      </c>
      <c r="G10" s="11" t="s">
        <v>23</v>
      </c>
      <c r="H10" s="11" t="s">
        <v>23</v>
      </c>
      <c r="I10" s="12">
        <v>9.0</v>
      </c>
      <c r="J10" s="12" t="s">
        <v>30</v>
      </c>
      <c r="K10" s="10" t="s">
        <v>57</v>
      </c>
      <c r="L10" s="13" t="s">
        <v>58</v>
      </c>
      <c r="M10" s="10">
        <f t="shared" si="5"/>
        <v>23440</v>
      </c>
      <c r="N10" s="10">
        <v>0.0</v>
      </c>
      <c r="O10" s="10">
        <v>488.0</v>
      </c>
      <c r="P10" s="14">
        <f t="shared" si="6"/>
        <v>0.02081911263</v>
      </c>
      <c r="Q10" s="10">
        <v>394.0</v>
      </c>
      <c r="R10" s="10">
        <v>20.0</v>
      </c>
      <c r="S10" s="10">
        <v>13.0</v>
      </c>
      <c r="T10" s="10">
        <v>61.0</v>
      </c>
      <c r="U10" s="10">
        <v>23440.0</v>
      </c>
    </row>
    <row r="11">
      <c r="A11" s="8" t="str">
        <f t="shared" si="1"/>
        <v>Q1</v>
      </c>
      <c r="B11" s="8">
        <f t="shared" si="2"/>
        <v>45321</v>
      </c>
      <c r="C11" s="9" t="s">
        <v>59</v>
      </c>
      <c r="D11" s="9">
        <f t="shared" si="3"/>
        <v>45321</v>
      </c>
      <c r="E11" s="9" t="str">
        <f t="shared" si="4"/>
        <v>09:00 PM BST</v>
      </c>
      <c r="F11" s="10" t="s">
        <v>22</v>
      </c>
      <c r="G11" s="11" t="s">
        <v>23</v>
      </c>
      <c r="H11" s="11" t="s">
        <v>24</v>
      </c>
      <c r="I11" s="12">
        <v>10.0</v>
      </c>
      <c r="J11" s="12" t="s">
        <v>60</v>
      </c>
      <c r="K11" s="10" t="s">
        <v>61</v>
      </c>
      <c r="L11" s="13" t="s">
        <v>62</v>
      </c>
      <c r="M11" s="10">
        <f t="shared" si="5"/>
        <v>37773</v>
      </c>
      <c r="N11" s="10">
        <v>0.0</v>
      </c>
      <c r="O11" s="10">
        <v>400.0</v>
      </c>
      <c r="P11" s="14">
        <f t="shared" si="6"/>
        <v>0.01058957456</v>
      </c>
      <c r="Q11" s="10">
        <v>353.0</v>
      </c>
      <c r="R11" s="10">
        <v>6.0</v>
      </c>
      <c r="S11" s="10">
        <v>8.0</v>
      </c>
      <c r="T11" s="10">
        <v>33.0</v>
      </c>
      <c r="U11" s="10">
        <v>37773.0</v>
      </c>
    </row>
    <row r="12">
      <c r="A12" s="8" t="str">
        <f t="shared" si="1"/>
        <v>Q1</v>
      </c>
      <c r="B12" s="8">
        <f t="shared" si="2"/>
        <v>45322</v>
      </c>
      <c r="C12" s="9" t="s">
        <v>63</v>
      </c>
      <c r="D12" s="9">
        <f t="shared" si="3"/>
        <v>45322</v>
      </c>
      <c r="E12" s="9" t="str">
        <f t="shared" si="4"/>
        <v>09:01 PM BST</v>
      </c>
      <c r="F12" s="10" t="s">
        <v>22</v>
      </c>
      <c r="G12" s="11" t="s">
        <v>23</v>
      </c>
      <c r="H12" s="11" t="s">
        <v>23</v>
      </c>
      <c r="I12" s="12">
        <v>11.0</v>
      </c>
      <c r="J12" s="12" t="s">
        <v>64</v>
      </c>
      <c r="K12" s="10" t="s">
        <v>65</v>
      </c>
      <c r="L12" s="13" t="s">
        <v>66</v>
      </c>
      <c r="M12" s="10">
        <f t="shared" si="5"/>
        <v>32955</v>
      </c>
      <c r="N12" s="10">
        <v>0.0</v>
      </c>
      <c r="O12" s="10">
        <v>357.0</v>
      </c>
      <c r="P12" s="14">
        <f t="shared" si="6"/>
        <v>0.01083295403</v>
      </c>
      <c r="Q12" s="10">
        <v>296.0</v>
      </c>
      <c r="R12" s="10">
        <v>1.0</v>
      </c>
      <c r="S12" s="10">
        <v>11.0</v>
      </c>
      <c r="T12" s="10">
        <v>49.0</v>
      </c>
      <c r="U12" s="10">
        <v>32955.0</v>
      </c>
    </row>
    <row r="13">
      <c r="A13" s="8" t="str">
        <f t="shared" si="1"/>
        <v>Q1</v>
      </c>
      <c r="B13" s="8">
        <f t="shared" si="2"/>
        <v>45324</v>
      </c>
      <c r="C13" s="9" t="s">
        <v>67</v>
      </c>
      <c r="D13" s="9">
        <f t="shared" si="3"/>
        <v>45324</v>
      </c>
      <c r="E13" s="9" t="str">
        <f t="shared" si="4"/>
        <v>06:01 PM BST</v>
      </c>
      <c r="F13" s="10" t="s">
        <v>29</v>
      </c>
      <c r="G13" s="11" t="s">
        <v>23</v>
      </c>
      <c r="H13" s="11" t="s">
        <v>24</v>
      </c>
      <c r="I13" s="12">
        <v>12.0</v>
      </c>
      <c r="J13" s="12" t="s">
        <v>68</v>
      </c>
      <c r="K13" s="10" t="s">
        <v>69</v>
      </c>
      <c r="L13" s="13" t="s">
        <v>70</v>
      </c>
      <c r="M13" s="10">
        <f t="shared" si="5"/>
        <v>32165</v>
      </c>
      <c r="N13" s="10">
        <v>32165.0</v>
      </c>
      <c r="O13" s="10">
        <v>1090.0</v>
      </c>
      <c r="P13" s="14">
        <f t="shared" si="6"/>
        <v>0.03388776621</v>
      </c>
      <c r="Q13" s="10">
        <v>1006.0</v>
      </c>
      <c r="R13" s="10">
        <v>4.0</v>
      </c>
      <c r="S13" s="10">
        <v>0.0</v>
      </c>
      <c r="T13" s="10">
        <v>80.0</v>
      </c>
      <c r="U13" s="10">
        <v>0.0</v>
      </c>
    </row>
    <row r="14">
      <c r="A14" s="8" t="str">
        <f t="shared" si="1"/>
        <v>Q1</v>
      </c>
      <c r="B14" s="8">
        <f t="shared" si="2"/>
        <v>45327</v>
      </c>
      <c r="C14" s="9" t="s">
        <v>71</v>
      </c>
      <c r="D14" s="9">
        <f t="shared" si="3"/>
        <v>45327</v>
      </c>
      <c r="E14" s="9" t="str">
        <f t="shared" si="4"/>
        <v>06:00 PM BST</v>
      </c>
      <c r="F14" s="10" t="s">
        <v>72</v>
      </c>
      <c r="G14" s="11" t="s">
        <v>23</v>
      </c>
      <c r="H14" s="11" t="s">
        <v>24</v>
      </c>
      <c r="I14" s="12">
        <v>13.0</v>
      </c>
      <c r="J14" s="12" t="s">
        <v>73</v>
      </c>
      <c r="K14" s="10" t="s">
        <v>74</v>
      </c>
      <c r="L14" s="13" t="s">
        <v>75</v>
      </c>
      <c r="M14" s="10">
        <f t="shared" si="5"/>
        <v>25296</v>
      </c>
      <c r="N14" s="10">
        <v>25296.0</v>
      </c>
      <c r="O14" s="10">
        <v>612.0</v>
      </c>
      <c r="P14" s="14">
        <f t="shared" si="6"/>
        <v>0.02419354839</v>
      </c>
      <c r="Q14" s="10">
        <v>584.0</v>
      </c>
      <c r="R14" s="10">
        <v>6.0</v>
      </c>
      <c r="S14" s="10">
        <v>0.0</v>
      </c>
      <c r="T14" s="10">
        <v>22.0</v>
      </c>
      <c r="U14" s="10">
        <v>0.0</v>
      </c>
    </row>
    <row r="15">
      <c r="A15" s="8" t="str">
        <f t="shared" si="1"/>
        <v>Q1</v>
      </c>
      <c r="B15" s="8">
        <f t="shared" si="2"/>
        <v>45329</v>
      </c>
      <c r="C15" s="9" t="s">
        <v>76</v>
      </c>
      <c r="D15" s="9">
        <f t="shared" si="3"/>
        <v>45329</v>
      </c>
      <c r="E15" s="9" t="str">
        <f t="shared" si="4"/>
        <v>06:00 PM BST</v>
      </c>
      <c r="F15" s="10" t="s">
        <v>22</v>
      </c>
      <c r="G15" s="11" t="s">
        <v>23</v>
      </c>
      <c r="H15" s="11" t="s">
        <v>23</v>
      </c>
      <c r="I15" s="12">
        <v>14.0</v>
      </c>
      <c r="J15" s="12" t="s">
        <v>77</v>
      </c>
      <c r="K15" s="10" t="s">
        <v>78</v>
      </c>
      <c r="L15" s="13" t="s">
        <v>79</v>
      </c>
      <c r="M15" s="10">
        <f t="shared" si="5"/>
        <v>23298</v>
      </c>
      <c r="N15" s="10">
        <v>0.0</v>
      </c>
      <c r="O15" s="10">
        <v>403.0</v>
      </c>
      <c r="P15" s="14">
        <f t="shared" si="6"/>
        <v>0.01729762211</v>
      </c>
      <c r="Q15" s="10">
        <v>359.0</v>
      </c>
      <c r="R15" s="10">
        <v>4.0</v>
      </c>
      <c r="S15" s="10">
        <v>14.0</v>
      </c>
      <c r="T15" s="10">
        <v>26.0</v>
      </c>
      <c r="U15" s="10">
        <v>23298.0</v>
      </c>
    </row>
    <row r="16">
      <c r="A16" s="8" t="str">
        <f t="shared" si="1"/>
        <v>Q1</v>
      </c>
      <c r="B16" s="8">
        <f t="shared" si="2"/>
        <v>45330</v>
      </c>
      <c r="C16" s="9" t="s">
        <v>80</v>
      </c>
      <c r="D16" s="9">
        <f t="shared" si="3"/>
        <v>45330</v>
      </c>
      <c r="E16" s="9" t="str">
        <f t="shared" si="4"/>
        <v>09:02 PM BST</v>
      </c>
      <c r="F16" s="10" t="s">
        <v>29</v>
      </c>
      <c r="G16" s="11" t="s">
        <v>23</v>
      </c>
      <c r="H16" s="11" t="s">
        <v>24</v>
      </c>
      <c r="I16" s="12">
        <v>15.0</v>
      </c>
      <c r="J16" s="12" t="s">
        <v>81</v>
      </c>
      <c r="K16" s="10" t="s">
        <v>82</v>
      </c>
      <c r="L16" s="13" t="s">
        <v>83</v>
      </c>
      <c r="M16" s="10">
        <f t="shared" si="5"/>
        <v>54474</v>
      </c>
      <c r="N16" s="10">
        <v>54474.0</v>
      </c>
      <c r="O16" s="10">
        <v>2109.0</v>
      </c>
      <c r="P16" s="14">
        <f t="shared" si="6"/>
        <v>0.03871571759</v>
      </c>
      <c r="Q16" s="10">
        <v>1687.0</v>
      </c>
      <c r="R16" s="10">
        <v>36.0</v>
      </c>
      <c r="S16" s="10">
        <v>0.0</v>
      </c>
      <c r="T16" s="10">
        <v>386.0</v>
      </c>
      <c r="U16" s="10">
        <v>4683.0</v>
      </c>
    </row>
    <row r="17">
      <c r="A17" s="8" t="str">
        <f t="shared" si="1"/>
        <v>Q1</v>
      </c>
      <c r="B17" s="8">
        <f t="shared" si="2"/>
        <v>45331</v>
      </c>
      <c r="C17" s="9" t="s">
        <v>84</v>
      </c>
      <c r="D17" s="9">
        <f t="shared" si="3"/>
        <v>45331</v>
      </c>
      <c r="E17" s="9" t="str">
        <f t="shared" si="4"/>
        <v>06:01 PM BST</v>
      </c>
      <c r="F17" s="10" t="s">
        <v>22</v>
      </c>
      <c r="G17" s="11" t="s">
        <v>23</v>
      </c>
      <c r="H17" s="11" t="s">
        <v>24</v>
      </c>
      <c r="I17" s="12">
        <v>16.0</v>
      </c>
      <c r="J17" s="12" t="s">
        <v>25</v>
      </c>
      <c r="K17" s="10" t="s">
        <v>85</v>
      </c>
      <c r="L17" s="13" t="s">
        <v>86</v>
      </c>
      <c r="M17" s="10">
        <f t="shared" si="5"/>
        <v>39564</v>
      </c>
      <c r="N17" s="10">
        <v>0.0</v>
      </c>
      <c r="O17" s="10">
        <v>875.0</v>
      </c>
      <c r="P17" s="14">
        <f t="shared" si="6"/>
        <v>0.02211606511</v>
      </c>
      <c r="Q17" s="10">
        <v>681.0</v>
      </c>
      <c r="R17" s="10">
        <v>11.0</v>
      </c>
      <c r="S17" s="10">
        <v>42.0</v>
      </c>
      <c r="T17" s="10">
        <v>141.0</v>
      </c>
      <c r="U17" s="10">
        <v>39564.0</v>
      </c>
    </row>
    <row r="18">
      <c r="A18" s="8" t="str">
        <f t="shared" si="1"/>
        <v>Q1</v>
      </c>
      <c r="B18" s="8">
        <f t="shared" si="2"/>
        <v>45334</v>
      </c>
      <c r="C18" s="9" t="s">
        <v>87</v>
      </c>
      <c r="D18" s="9">
        <f t="shared" si="3"/>
        <v>45334</v>
      </c>
      <c r="E18" s="9" t="str">
        <f t="shared" si="4"/>
        <v>08:59 PM BST</v>
      </c>
      <c r="F18" s="10" t="s">
        <v>29</v>
      </c>
      <c r="G18" s="11" t="s">
        <v>23</v>
      </c>
      <c r="H18" s="11" t="s">
        <v>23</v>
      </c>
      <c r="I18" s="12">
        <v>17.0</v>
      </c>
      <c r="J18" s="12" t="s">
        <v>88</v>
      </c>
      <c r="K18" s="10" t="s">
        <v>89</v>
      </c>
      <c r="L18" s="13" t="s">
        <v>90</v>
      </c>
      <c r="M18" s="10">
        <f t="shared" si="5"/>
        <v>24419</v>
      </c>
      <c r="N18" s="10">
        <v>24419.0</v>
      </c>
      <c r="O18" s="10">
        <v>228.0</v>
      </c>
      <c r="P18" s="14">
        <f t="shared" si="6"/>
        <v>0.009336991687</v>
      </c>
      <c r="Q18" s="10">
        <v>214.0</v>
      </c>
      <c r="R18" s="10">
        <v>5.0</v>
      </c>
      <c r="S18" s="10">
        <v>0.0</v>
      </c>
      <c r="T18" s="10">
        <v>9.0</v>
      </c>
      <c r="U18" s="10">
        <v>0.0</v>
      </c>
    </row>
    <row r="19">
      <c r="A19" s="8" t="str">
        <f t="shared" si="1"/>
        <v>Q1</v>
      </c>
      <c r="B19" s="8">
        <f t="shared" si="2"/>
        <v>45336</v>
      </c>
      <c r="C19" s="9" t="s">
        <v>91</v>
      </c>
      <c r="D19" s="9">
        <f t="shared" si="3"/>
        <v>45336</v>
      </c>
      <c r="E19" s="9" t="str">
        <f t="shared" si="4"/>
        <v>06:03 PM BST</v>
      </c>
      <c r="F19" s="10" t="s">
        <v>29</v>
      </c>
      <c r="G19" s="11" t="s">
        <v>23</v>
      </c>
      <c r="H19" s="11" t="s">
        <v>23</v>
      </c>
      <c r="I19" s="12">
        <v>18.0</v>
      </c>
      <c r="J19" s="12" t="s">
        <v>92</v>
      </c>
      <c r="K19" s="10" t="s">
        <v>93</v>
      </c>
      <c r="L19" s="13" t="s">
        <v>94</v>
      </c>
      <c r="M19" s="10">
        <f t="shared" si="5"/>
        <v>168976</v>
      </c>
      <c r="N19" s="10">
        <v>168976.0</v>
      </c>
      <c r="O19" s="10">
        <v>6672.0</v>
      </c>
      <c r="P19" s="14">
        <f t="shared" si="6"/>
        <v>0.03948489726</v>
      </c>
      <c r="Q19" s="10">
        <v>6331.0</v>
      </c>
      <c r="R19" s="10">
        <v>35.0</v>
      </c>
      <c r="S19" s="10">
        <v>0.0</v>
      </c>
      <c r="T19" s="10">
        <v>306.0</v>
      </c>
      <c r="U19" s="10">
        <v>0.0</v>
      </c>
    </row>
    <row r="20">
      <c r="A20" s="8" t="str">
        <f t="shared" si="1"/>
        <v>Q1</v>
      </c>
      <c r="B20" s="8">
        <f t="shared" si="2"/>
        <v>45336</v>
      </c>
      <c r="C20" s="9" t="s">
        <v>95</v>
      </c>
      <c r="D20" s="9">
        <f t="shared" si="3"/>
        <v>45336</v>
      </c>
      <c r="E20" s="9" t="str">
        <f t="shared" si="4"/>
        <v>09:06 PM BST</v>
      </c>
      <c r="F20" s="10" t="s">
        <v>22</v>
      </c>
      <c r="G20" s="11" t="s">
        <v>23</v>
      </c>
      <c r="H20" s="11" t="s">
        <v>24</v>
      </c>
      <c r="I20" s="12">
        <v>19.0</v>
      </c>
      <c r="J20" s="12" t="s">
        <v>92</v>
      </c>
      <c r="K20" s="10" t="s">
        <v>96</v>
      </c>
      <c r="L20" s="13" t="s">
        <v>97</v>
      </c>
      <c r="M20" s="10">
        <f t="shared" si="5"/>
        <v>38543</v>
      </c>
      <c r="N20" s="10">
        <v>0.0</v>
      </c>
      <c r="O20" s="10">
        <v>976.0</v>
      </c>
      <c r="P20" s="14">
        <f t="shared" si="6"/>
        <v>0.02532236723</v>
      </c>
      <c r="Q20" s="10">
        <v>835.0</v>
      </c>
      <c r="R20" s="10">
        <v>27.0</v>
      </c>
      <c r="S20" s="10">
        <v>66.0</v>
      </c>
      <c r="T20" s="10">
        <v>48.0</v>
      </c>
      <c r="U20" s="10">
        <v>38543.0</v>
      </c>
    </row>
    <row r="21">
      <c r="A21" s="8" t="str">
        <f t="shared" si="1"/>
        <v>Q1</v>
      </c>
      <c r="B21" s="8">
        <f t="shared" si="2"/>
        <v>45342</v>
      </c>
      <c r="C21" s="9" t="s">
        <v>98</v>
      </c>
      <c r="D21" s="9">
        <f t="shared" si="3"/>
        <v>45342</v>
      </c>
      <c r="E21" s="9" t="str">
        <f t="shared" si="4"/>
        <v>09:01 PM BST</v>
      </c>
      <c r="F21" s="10" t="s">
        <v>22</v>
      </c>
      <c r="G21" s="11" t="s">
        <v>23</v>
      </c>
      <c r="H21" s="11" t="s">
        <v>23</v>
      </c>
      <c r="I21" s="12">
        <v>20.0</v>
      </c>
      <c r="J21" s="12" t="s">
        <v>99</v>
      </c>
      <c r="K21" s="10" t="s">
        <v>100</v>
      </c>
      <c r="L21" s="13" t="s">
        <v>101</v>
      </c>
      <c r="M21" s="10">
        <f t="shared" si="5"/>
        <v>34688</v>
      </c>
      <c r="N21" s="10">
        <v>0.0</v>
      </c>
      <c r="O21" s="10">
        <v>569.0</v>
      </c>
      <c r="P21" s="14">
        <f t="shared" si="6"/>
        <v>0.01640336716</v>
      </c>
      <c r="Q21" s="10">
        <v>524.0</v>
      </c>
      <c r="R21" s="10">
        <v>4.0</v>
      </c>
      <c r="S21" s="10">
        <v>21.0</v>
      </c>
      <c r="T21" s="10">
        <v>20.0</v>
      </c>
      <c r="U21" s="10">
        <v>34688.0</v>
      </c>
    </row>
    <row r="22">
      <c r="A22" s="8" t="str">
        <f t="shared" si="1"/>
        <v>Q1</v>
      </c>
      <c r="B22" s="8">
        <f t="shared" si="2"/>
        <v>45345</v>
      </c>
      <c r="C22" s="9" t="s">
        <v>102</v>
      </c>
      <c r="D22" s="9">
        <f t="shared" si="3"/>
        <v>45345</v>
      </c>
      <c r="E22" s="9" t="str">
        <f t="shared" si="4"/>
        <v>06:10 PM BST</v>
      </c>
      <c r="F22" s="10" t="s">
        <v>22</v>
      </c>
      <c r="G22" s="11" t="s">
        <v>23</v>
      </c>
      <c r="H22" s="11" t="s">
        <v>24</v>
      </c>
      <c r="I22" s="12">
        <v>21.0</v>
      </c>
      <c r="J22" s="12" t="s">
        <v>60</v>
      </c>
      <c r="K22" s="10" t="s">
        <v>103</v>
      </c>
      <c r="L22" s="13" t="s">
        <v>104</v>
      </c>
      <c r="M22" s="10">
        <f t="shared" si="5"/>
        <v>17692</v>
      </c>
      <c r="N22" s="10">
        <v>0.0</v>
      </c>
      <c r="O22" s="10">
        <v>300.0</v>
      </c>
      <c r="P22" s="14">
        <f t="shared" si="6"/>
        <v>0.01695681664</v>
      </c>
      <c r="Q22" s="10">
        <v>271.0</v>
      </c>
      <c r="R22" s="10">
        <v>1.0</v>
      </c>
      <c r="S22" s="10">
        <v>11.0</v>
      </c>
      <c r="T22" s="10">
        <v>17.0</v>
      </c>
      <c r="U22" s="10">
        <v>17692.0</v>
      </c>
    </row>
    <row r="23">
      <c r="A23" s="8" t="str">
        <f t="shared" si="1"/>
        <v>Q1</v>
      </c>
      <c r="B23" s="8">
        <f t="shared" si="2"/>
        <v>45348</v>
      </c>
      <c r="C23" s="9" t="s">
        <v>105</v>
      </c>
      <c r="D23" s="9">
        <f t="shared" si="3"/>
        <v>45348</v>
      </c>
      <c r="E23" s="9" t="str">
        <f t="shared" si="4"/>
        <v>05:30 PM BST</v>
      </c>
      <c r="F23" s="10" t="s">
        <v>72</v>
      </c>
      <c r="G23" s="11" t="s">
        <v>23</v>
      </c>
      <c r="H23" s="11" t="s">
        <v>23</v>
      </c>
      <c r="I23" s="12">
        <v>22.0</v>
      </c>
      <c r="J23" s="12" t="s">
        <v>106</v>
      </c>
      <c r="K23" s="10" t="s">
        <v>107</v>
      </c>
      <c r="L23" s="13" t="s">
        <v>108</v>
      </c>
      <c r="M23" s="10">
        <f t="shared" si="5"/>
        <v>62663</v>
      </c>
      <c r="N23" s="10">
        <v>62663.0</v>
      </c>
      <c r="O23" s="10">
        <v>2622.0</v>
      </c>
      <c r="P23" s="14">
        <f t="shared" si="6"/>
        <v>0.04184287379</v>
      </c>
      <c r="Q23" s="10">
        <v>2429.0</v>
      </c>
      <c r="R23" s="10">
        <v>61.0</v>
      </c>
      <c r="S23" s="10">
        <v>0.0</v>
      </c>
      <c r="T23" s="10">
        <v>132.0</v>
      </c>
      <c r="U23" s="10">
        <v>0.0</v>
      </c>
    </row>
    <row r="24">
      <c r="A24" s="8" t="str">
        <f t="shared" si="1"/>
        <v>Q1</v>
      </c>
      <c r="B24" s="8">
        <f t="shared" si="2"/>
        <v>45349</v>
      </c>
      <c r="C24" s="9" t="s">
        <v>109</v>
      </c>
      <c r="D24" s="9">
        <f t="shared" si="3"/>
        <v>45349</v>
      </c>
      <c r="E24" s="9" t="str">
        <f t="shared" si="4"/>
        <v>03:00 PM BST</v>
      </c>
      <c r="F24" s="10" t="s">
        <v>22</v>
      </c>
      <c r="G24" s="11" t="s">
        <v>23</v>
      </c>
      <c r="H24" s="11" t="s">
        <v>23</v>
      </c>
      <c r="I24" s="12">
        <v>23.0</v>
      </c>
      <c r="J24" s="12" t="s">
        <v>106</v>
      </c>
      <c r="K24" s="10" t="s">
        <v>110</v>
      </c>
      <c r="L24" s="13" t="s">
        <v>111</v>
      </c>
      <c r="M24" s="10">
        <f t="shared" si="5"/>
        <v>86847</v>
      </c>
      <c r="N24" s="10">
        <v>0.0</v>
      </c>
      <c r="O24" s="10">
        <v>5650.0</v>
      </c>
      <c r="P24" s="14">
        <f t="shared" si="6"/>
        <v>0.06505693921</v>
      </c>
      <c r="Q24" s="10">
        <v>4145.0</v>
      </c>
      <c r="R24" s="10">
        <v>155.0</v>
      </c>
      <c r="S24" s="10">
        <v>625.0</v>
      </c>
      <c r="T24" s="10">
        <v>725.0</v>
      </c>
      <c r="U24" s="10">
        <v>86847.0</v>
      </c>
    </row>
    <row r="25">
      <c r="A25" s="8" t="str">
        <f t="shared" si="1"/>
        <v>Q1</v>
      </c>
      <c r="B25" s="8">
        <f t="shared" si="2"/>
        <v>45351</v>
      </c>
      <c r="C25" s="9" t="s">
        <v>112</v>
      </c>
      <c r="D25" s="9">
        <f t="shared" si="3"/>
        <v>45351</v>
      </c>
      <c r="E25" s="9" t="str">
        <f t="shared" si="4"/>
        <v>06:30 PM BST</v>
      </c>
      <c r="F25" s="10" t="s">
        <v>29</v>
      </c>
      <c r="G25" s="11" t="s">
        <v>23</v>
      </c>
      <c r="H25" s="11" t="s">
        <v>23</v>
      </c>
      <c r="I25" s="12">
        <v>24.0</v>
      </c>
      <c r="J25" s="12" t="s">
        <v>106</v>
      </c>
      <c r="K25" s="10" t="s">
        <v>113</v>
      </c>
      <c r="L25" s="13" t="s">
        <v>114</v>
      </c>
      <c r="M25" s="10">
        <f t="shared" si="5"/>
        <v>47202</v>
      </c>
      <c r="N25" s="10">
        <v>47202.0</v>
      </c>
      <c r="O25" s="10">
        <v>2156.0</v>
      </c>
      <c r="P25" s="14">
        <f t="shared" si="6"/>
        <v>0.04567603068</v>
      </c>
      <c r="Q25" s="10">
        <v>1907.0</v>
      </c>
      <c r="R25" s="10">
        <v>52.0</v>
      </c>
      <c r="S25" s="10">
        <v>0.0</v>
      </c>
      <c r="T25" s="10">
        <v>197.0</v>
      </c>
      <c r="U25" s="10">
        <v>0.0</v>
      </c>
    </row>
    <row r="26">
      <c r="A26" s="8" t="str">
        <f t="shared" si="1"/>
        <v>Q1</v>
      </c>
      <c r="B26" s="8">
        <f t="shared" si="2"/>
        <v>45352</v>
      </c>
      <c r="C26" s="9" t="s">
        <v>115</v>
      </c>
      <c r="D26" s="9">
        <f t="shared" si="3"/>
        <v>45352</v>
      </c>
      <c r="E26" s="9" t="str">
        <f t="shared" si="4"/>
        <v>06:01 PM BST</v>
      </c>
      <c r="F26" s="10" t="s">
        <v>22</v>
      </c>
      <c r="G26" s="11" t="s">
        <v>23</v>
      </c>
      <c r="H26" s="11" t="s">
        <v>24</v>
      </c>
      <c r="I26" s="12">
        <v>25.0</v>
      </c>
      <c r="J26" s="12" t="s">
        <v>116</v>
      </c>
      <c r="K26" s="10" t="s">
        <v>117</v>
      </c>
      <c r="L26" s="13" t="s">
        <v>118</v>
      </c>
      <c r="M26" s="10">
        <f t="shared" si="5"/>
        <v>16552</v>
      </c>
      <c r="N26" s="10">
        <v>0.0</v>
      </c>
      <c r="O26" s="10">
        <v>414.0</v>
      </c>
      <c r="P26" s="14">
        <f t="shared" si="6"/>
        <v>0.02501208313</v>
      </c>
      <c r="Q26" s="10">
        <v>356.0</v>
      </c>
      <c r="R26" s="10">
        <v>4.0</v>
      </c>
      <c r="S26" s="10">
        <v>23.0</v>
      </c>
      <c r="T26" s="10">
        <v>31.0</v>
      </c>
      <c r="U26" s="10">
        <v>16552.0</v>
      </c>
    </row>
    <row r="27">
      <c r="A27" s="8" t="str">
        <f t="shared" si="1"/>
        <v>Q1</v>
      </c>
      <c r="B27" s="8">
        <f t="shared" si="2"/>
        <v>45355</v>
      </c>
      <c r="C27" s="9" t="s">
        <v>119</v>
      </c>
      <c r="D27" s="9">
        <f t="shared" si="3"/>
        <v>45355</v>
      </c>
      <c r="E27" s="9" t="str">
        <f t="shared" si="4"/>
        <v>06:21 PM BST</v>
      </c>
      <c r="F27" s="10" t="s">
        <v>22</v>
      </c>
      <c r="G27" s="11" t="s">
        <v>23</v>
      </c>
      <c r="H27" s="11" t="s">
        <v>23</v>
      </c>
      <c r="I27" s="12">
        <v>26.0</v>
      </c>
      <c r="J27" s="12" t="s">
        <v>120</v>
      </c>
      <c r="K27" s="10" t="s">
        <v>121</v>
      </c>
      <c r="L27" s="13" t="s">
        <v>122</v>
      </c>
      <c r="M27" s="10">
        <f t="shared" si="5"/>
        <v>19773</v>
      </c>
      <c r="N27" s="10">
        <v>0.0</v>
      </c>
      <c r="O27" s="10">
        <v>534.0</v>
      </c>
      <c r="P27" s="14">
        <f t="shared" si="6"/>
        <v>0.02700652405</v>
      </c>
      <c r="Q27" s="10">
        <v>492.0</v>
      </c>
      <c r="R27" s="10">
        <v>15.0</v>
      </c>
      <c r="S27" s="10">
        <v>10.0</v>
      </c>
      <c r="T27" s="10">
        <v>17.0</v>
      </c>
      <c r="U27" s="10">
        <v>19773.0</v>
      </c>
    </row>
    <row r="28">
      <c r="A28" s="8" t="str">
        <f t="shared" si="1"/>
        <v>Q1</v>
      </c>
      <c r="B28" s="8">
        <f t="shared" si="2"/>
        <v>45357</v>
      </c>
      <c r="C28" s="9" t="s">
        <v>123</v>
      </c>
      <c r="D28" s="9">
        <f t="shared" si="3"/>
        <v>45357</v>
      </c>
      <c r="E28" s="9" t="str">
        <f t="shared" si="4"/>
        <v>03:00 PM BST</v>
      </c>
      <c r="F28" s="10" t="s">
        <v>22</v>
      </c>
      <c r="G28" s="11" t="s">
        <v>23</v>
      </c>
      <c r="H28" s="11" t="s">
        <v>23</v>
      </c>
      <c r="I28" s="12">
        <v>27.0</v>
      </c>
      <c r="J28" s="12" t="s">
        <v>120</v>
      </c>
      <c r="K28" s="10" t="s">
        <v>124</v>
      </c>
      <c r="L28" s="13" t="s">
        <v>125</v>
      </c>
      <c r="M28" s="10">
        <f t="shared" si="5"/>
        <v>26110</v>
      </c>
      <c r="N28" s="10">
        <v>0.0</v>
      </c>
      <c r="O28" s="10">
        <v>911.0</v>
      </c>
      <c r="P28" s="14">
        <f t="shared" si="6"/>
        <v>0.03489084642</v>
      </c>
      <c r="Q28" s="10">
        <v>675.0</v>
      </c>
      <c r="R28" s="10">
        <v>33.0</v>
      </c>
      <c r="S28" s="10">
        <v>53.0</v>
      </c>
      <c r="T28" s="10">
        <v>150.0</v>
      </c>
      <c r="U28" s="10">
        <v>26110.0</v>
      </c>
    </row>
    <row r="29">
      <c r="A29" s="8" t="str">
        <f t="shared" si="1"/>
        <v>Q1</v>
      </c>
      <c r="B29" s="8">
        <f t="shared" si="2"/>
        <v>45358</v>
      </c>
      <c r="C29" s="9" t="s">
        <v>126</v>
      </c>
      <c r="D29" s="9">
        <f t="shared" si="3"/>
        <v>45358</v>
      </c>
      <c r="E29" s="9" t="str">
        <f t="shared" si="4"/>
        <v>06:00 PM BST</v>
      </c>
      <c r="F29" s="10" t="s">
        <v>22</v>
      </c>
      <c r="G29" s="11" t="s">
        <v>23</v>
      </c>
      <c r="H29" s="11" t="s">
        <v>23</v>
      </c>
      <c r="I29" s="12">
        <v>28.0</v>
      </c>
      <c r="J29" s="12" t="s">
        <v>120</v>
      </c>
      <c r="K29" s="10" t="s">
        <v>127</v>
      </c>
      <c r="L29" s="13" t="s">
        <v>128</v>
      </c>
      <c r="M29" s="10">
        <f t="shared" si="5"/>
        <v>18566</v>
      </c>
      <c r="N29" s="10">
        <v>0.0</v>
      </c>
      <c r="O29" s="10">
        <v>493.0</v>
      </c>
      <c r="P29" s="14">
        <f t="shared" si="6"/>
        <v>0.02655391576</v>
      </c>
      <c r="Q29" s="10">
        <v>429.0</v>
      </c>
      <c r="R29" s="10">
        <v>7.0</v>
      </c>
      <c r="S29" s="10">
        <v>13.0</v>
      </c>
      <c r="T29" s="10">
        <v>44.0</v>
      </c>
      <c r="U29" s="10">
        <v>18566.0</v>
      </c>
    </row>
    <row r="30">
      <c r="A30" s="8" t="str">
        <f t="shared" si="1"/>
        <v>Q1</v>
      </c>
      <c r="B30" s="8">
        <f t="shared" si="2"/>
        <v>45362</v>
      </c>
      <c r="C30" s="9" t="s">
        <v>129</v>
      </c>
      <c r="D30" s="9">
        <f t="shared" si="3"/>
        <v>45362</v>
      </c>
      <c r="E30" s="9" t="str">
        <f t="shared" si="4"/>
        <v>08:01 PM BST</v>
      </c>
      <c r="F30" s="10" t="s">
        <v>22</v>
      </c>
      <c r="G30" s="11" t="s">
        <v>23</v>
      </c>
      <c r="H30" s="11" t="s">
        <v>23</v>
      </c>
      <c r="I30" s="12">
        <v>29.0</v>
      </c>
      <c r="J30" s="12" t="s">
        <v>130</v>
      </c>
      <c r="K30" s="10" t="s">
        <v>131</v>
      </c>
      <c r="L30" s="13" t="s">
        <v>132</v>
      </c>
      <c r="M30" s="10">
        <f t="shared" si="5"/>
        <v>21615</v>
      </c>
      <c r="N30" s="10">
        <v>0.0</v>
      </c>
      <c r="O30" s="10">
        <v>300.0</v>
      </c>
      <c r="P30" s="14">
        <f t="shared" si="6"/>
        <v>0.01387925052</v>
      </c>
      <c r="Q30" s="10">
        <v>250.0</v>
      </c>
      <c r="R30" s="10">
        <v>5.0</v>
      </c>
      <c r="S30" s="10">
        <v>8.0</v>
      </c>
      <c r="T30" s="10">
        <v>37.0</v>
      </c>
      <c r="U30" s="10">
        <v>21615.0</v>
      </c>
    </row>
    <row r="31">
      <c r="A31" s="8" t="str">
        <f t="shared" si="1"/>
        <v>Q1</v>
      </c>
      <c r="B31" s="8">
        <f t="shared" si="2"/>
        <v>45362</v>
      </c>
      <c r="C31" s="9" t="s">
        <v>133</v>
      </c>
      <c r="D31" s="9">
        <f t="shared" si="3"/>
        <v>45362</v>
      </c>
      <c r="E31" s="9" t="str">
        <f t="shared" si="4"/>
        <v>05:00 PM BST</v>
      </c>
      <c r="F31" s="10" t="s">
        <v>22</v>
      </c>
      <c r="G31" s="11" t="s">
        <v>23</v>
      </c>
      <c r="H31" s="11" t="s">
        <v>23</v>
      </c>
      <c r="I31" s="12">
        <v>30.0</v>
      </c>
      <c r="J31" s="12" t="s">
        <v>120</v>
      </c>
      <c r="K31" s="10" t="s">
        <v>134</v>
      </c>
      <c r="L31" s="13" t="s">
        <v>135</v>
      </c>
      <c r="M31" s="10">
        <f t="shared" si="5"/>
        <v>13969</v>
      </c>
      <c r="N31" s="10">
        <v>0.0</v>
      </c>
      <c r="O31" s="10">
        <v>320.0</v>
      </c>
      <c r="P31" s="14">
        <f t="shared" si="6"/>
        <v>0.02290786742</v>
      </c>
      <c r="Q31" s="10">
        <v>288.0</v>
      </c>
      <c r="R31" s="10">
        <v>3.0</v>
      </c>
      <c r="S31" s="10">
        <v>5.0</v>
      </c>
      <c r="T31" s="10">
        <v>24.0</v>
      </c>
      <c r="U31" s="10">
        <v>13969.0</v>
      </c>
    </row>
    <row r="32">
      <c r="A32" s="8" t="str">
        <f t="shared" si="1"/>
        <v>Q1</v>
      </c>
      <c r="B32" s="8">
        <f t="shared" si="2"/>
        <v>45363</v>
      </c>
      <c r="C32" s="9" t="s">
        <v>136</v>
      </c>
      <c r="D32" s="9">
        <f t="shared" si="3"/>
        <v>45363</v>
      </c>
      <c r="E32" s="9" t="str">
        <f t="shared" si="4"/>
        <v>05:00 PM BST</v>
      </c>
      <c r="F32" s="10" t="s">
        <v>22</v>
      </c>
      <c r="G32" s="11" t="s">
        <v>23</v>
      </c>
      <c r="H32" s="11" t="s">
        <v>24</v>
      </c>
      <c r="I32" s="12">
        <v>31.0</v>
      </c>
      <c r="J32" s="12" t="s">
        <v>137</v>
      </c>
      <c r="K32" s="10" t="s">
        <v>138</v>
      </c>
      <c r="L32" s="13" t="s">
        <v>139</v>
      </c>
      <c r="M32" s="10">
        <f t="shared" si="5"/>
        <v>39568</v>
      </c>
      <c r="N32" s="10">
        <v>0.0</v>
      </c>
      <c r="O32" s="10">
        <v>1608.0</v>
      </c>
      <c r="P32" s="14">
        <f t="shared" si="6"/>
        <v>0.04063890012</v>
      </c>
      <c r="Q32" s="10">
        <v>1133.0</v>
      </c>
      <c r="R32" s="10">
        <v>44.0</v>
      </c>
      <c r="S32" s="10">
        <v>108.0</v>
      </c>
      <c r="T32" s="10">
        <v>323.0</v>
      </c>
      <c r="U32" s="10">
        <v>39568.0</v>
      </c>
    </row>
    <row r="33">
      <c r="A33" s="8" t="str">
        <f t="shared" si="1"/>
        <v>Q1</v>
      </c>
      <c r="B33" s="8">
        <f t="shared" si="2"/>
        <v>45364</v>
      </c>
      <c r="C33" s="9" t="s">
        <v>140</v>
      </c>
      <c r="D33" s="9">
        <f t="shared" si="3"/>
        <v>45364</v>
      </c>
      <c r="E33" s="9" t="str">
        <f t="shared" si="4"/>
        <v>06:36 PM BST</v>
      </c>
      <c r="F33" s="10" t="s">
        <v>22</v>
      </c>
      <c r="G33" s="11" t="s">
        <v>23</v>
      </c>
      <c r="H33" s="11" t="s">
        <v>23</v>
      </c>
      <c r="I33" s="12">
        <v>32.0</v>
      </c>
      <c r="J33" s="12" t="s">
        <v>120</v>
      </c>
      <c r="K33" s="10" t="s">
        <v>141</v>
      </c>
      <c r="L33" s="13" t="s">
        <v>142</v>
      </c>
      <c r="M33" s="10">
        <f t="shared" si="5"/>
        <v>11423</v>
      </c>
      <c r="N33" s="10">
        <v>0.0</v>
      </c>
      <c r="O33" s="10">
        <v>231.0</v>
      </c>
      <c r="P33" s="14">
        <f t="shared" si="6"/>
        <v>0.0202223584</v>
      </c>
      <c r="Q33" s="10">
        <v>217.0</v>
      </c>
      <c r="R33" s="10">
        <v>2.0</v>
      </c>
      <c r="S33" s="10">
        <v>3.0</v>
      </c>
      <c r="T33" s="10">
        <v>9.0</v>
      </c>
      <c r="U33" s="10">
        <v>11423.0</v>
      </c>
    </row>
    <row r="34">
      <c r="A34" s="8" t="str">
        <f t="shared" si="1"/>
        <v>Q1</v>
      </c>
      <c r="B34" s="8">
        <f t="shared" si="2"/>
        <v>45366</v>
      </c>
      <c r="C34" s="9" t="s">
        <v>143</v>
      </c>
      <c r="D34" s="9">
        <f t="shared" si="3"/>
        <v>45366</v>
      </c>
      <c r="E34" s="9" t="str">
        <f t="shared" si="4"/>
        <v>05:00 PM BST</v>
      </c>
      <c r="F34" s="10" t="s">
        <v>22</v>
      </c>
      <c r="G34" s="11" t="s">
        <v>23</v>
      </c>
      <c r="H34" s="11" t="s">
        <v>23</v>
      </c>
      <c r="I34" s="12">
        <v>33.0</v>
      </c>
      <c r="J34" s="12" t="s">
        <v>120</v>
      </c>
      <c r="K34" s="10" t="s">
        <v>144</v>
      </c>
      <c r="L34" s="13" t="s">
        <v>145</v>
      </c>
      <c r="M34" s="10">
        <f t="shared" si="5"/>
        <v>14870</v>
      </c>
      <c r="N34" s="10">
        <v>0.0</v>
      </c>
      <c r="O34" s="10">
        <v>350.0</v>
      </c>
      <c r="P34" s="14">
        <f t="shared" si="6"/>
        <v>0.02353732347</v>
      </c>
      <c r="Q34" s="10">
        <v>320.0</v>
      </c>
      <c r="R34" s="10">
        <v>9.0</v>
      </c>
      <c r="S34" s="10">
        <v>5.0</v>
      </c>
      <c r="T34" s="10">
        <v>16.0</v>
      </c>
      <c r="U34" s="10">
        <v>14870.0</v>
      </c>
    </row>
    <row r="35">
      <c r="A35" s="8" t="str">
        <f t="shared" si="1"/>
        <v>Q1</v>
      </c>
      <c r="B35" s="8">
        <f t="shared" si="2"/>
        <v>45370</v>
      </c>
      <c r="C35" s="9" t="s">
        <v>146</v>
      </c>
      <c r="D35" s="9">
        <f t="shared" si="3"/>
        <v>45370</v>
      </c>
      <c r="E35" s="9" t="str">
        <f t="shared" si="4"/>
        <v>05:00 PM BST</v>
      </c>
      <c r="F35" s="10" t="s">
        <v>29</v>
      </c>
      <c r="G35" s="11" t="s">
        <v>23</v>
      </c>
      <c r="H35" s="11" t="s">
        <v>23</v>
      </c>
      <c r="I35" s="12">
        <v>34.0</v>
      </c>
      <c r="J35" s="12" t="s">
        <v>147</v>
      </c>
      <c r="K35" s="10" t="s">
        <v>148</v>
      </c>
      <c r="L35" s="13" t="s">
        <v>149</v>
      </c>
      <c r="M35" s="10">
        <f t="shared" si="5"/>
        <v>11974</v>
      </c>
      <c r="N35" s="10">
        <v>11974.0</v>
      </c>
      <c r="O35" s="10">
        <v>156.0</v>
      </c>
      <c r="P35" s="14">
        <f t="shared" si="6"/>
        <v>0.01302822783</v>
      </c>
      <c r="Q35" s="10">
        <v>144.0</v>
      </c>
      <c r="R35" s="10">
        <v>0.0</v>
      </c>
      <c r="S35" s="10">
        <v>0.0</v>
      </c>
      <c r="T35" s="10">
        <v>12.0</v>
      </c>
      <c r="U35" s="10">
        <v>0.0</v>
      </c>
    </row>
    <row r="36">
      <c r="A36" s="8" t="str">
        <f t="shared" si="1"/>
        <v>Q1</v>
      </c>
      <c r="B36" s="8">
        <f t="shared" si="2"/>
        <v>45371</v>
      </c>
      <c r="C36" s="9" t="s">
        <v>150</v>
      </c>
      <c r="D36" s="9">
        <f t="shared" si="3"/>
        <v>45371</v>
      </c>
      <c r="E36" s="9" t="str">
        <f t="shared" si="4"/>
        <v>05:00 PM BST</v>
      </c>
      <c r="F36" s="10" t="s">
        <v>29</v>
      </c>
      <c r="G36" s="11" t="s">
        <v>23</v>
      </c>
      <c r="H36" s="11" t="s">
        <v>24</v>
      </c>
      <c r="I36" s="12">
        <v>35.0</v>
      </c>
      <c r="J36" s="12" t="s">
        <v>151</v>
      </c>
      <c r="K36" s="10" t="s">
        <v>152</v>
      </c>
      <c r="L36" s="13" t="s">
        <v>153</v>
      </c>
      <c r="M36" s="10">
        <f t="shared" si="5"/>
        <v>24397</v>
      </c>
      <c r="N36" s="10">
        <v>24397.0</v>
      </c>
      <c r="O36" s="10">
        <v>615.0</v>
      </c>
      <c r="P36" s="14">
        <f t="shared" si="6"/>
        <v>0.02520801738</v>
      </c>
      <c r="Q36" s="10">
        <v>581.0</v>
      </c>
      <c r="R36" s="10">
        <v>4.0</v>
      </c>
      <c r="S36" s="10">
        <v>0.0</v>
      </c>
      <c r="T36" s="10">
        <v>30.0</v>
      </c>
      <c r="U36" s="10">
        <v>0.0</v>
      </c>
    </row>
    <row r="37">
      <c r="A37" s="8" t="str">
        <f t="shared" si="1"/>
        <v>Q1</v>
      </c>
      <c r="B37" s="8">
        <f t="shared" si="2"/>
        <v>45372</v>
      </c>
      <c r="C37" s="9" t="s">
        <v>154</v>
      </c>
      <c r="D37" s="9">
        <f t="shared" si="3"/>
        <v>45372</v>
      </c>
      <c r="E37" s="9" t="str">
        <f t="shared" si="4"/>
        <v>05:00 PM BST</v>
      </c>
      <c r="F37" s="10" t="s">
        <v>29</v>
      </c>
      <c r="G37" s="11" t="s">
        <v>23</v>
      </c>
      <c r="H37" s="11" t="s">
        <v>24</v>
      </c>
      <c r="I37" s="12">
        <v>36.0</v>
      </c>
      <c r="J37" s="12" t="s">
        <v>155</v>
      </c>
      <c r="K37" s="10" t="s">
        <v>156</v>
      </c>
      <c r="L37" s="13" t="s">
        <v>157</v>
      </c>
      <c r="M37" s="10">
        <f t="shared" si="5"/>
        <v>39111</v>
      </c>
      <c r="N37" s="10">
        <v>39111.0</v>
      </c>
      <c r="O37" s="10">
        <v>1358.0</v>
      </c>
      <c r="P37" s="14">
        <f t="shared" si="6"/>
        <v>0.03472168955</v>
      </c>
      <c r="Q37" s="10">
        <v>1188.0</v>
      </c>
      <c r="R37" s="10">
        <v>26.0</v>
      </c>
      <c r="S37" s="10">
        <v>0.0</v>
      </c>
      <c r="T37" s="10">
        <v>144.0</v>
      </c>
      <c r="U37" s="10">
        <v>0.0</v>
      </c>
    </row>
    <row r="38">
      <c r="A38" s="8" t="str">
        <f t="shared" si="1"/>
        <v>Q1</v>
      </c>
      <c r="B38" s="8">
        <f t="shared" si="2"/>
        <v>45373</v>
      </c>
      <c r="C38" s="9" t="s">
        <v>158</v>
      </c>
      <c r="D38" s="9">
        <f t="shared" si="3"/>
        <v>45373</v>
      </c>
      <c r="E38" s="9" t="str">
        <f t="shared" si="4"/>
        <v>05:01 PM BST</v>
      </c>
      <c r="F38" s="10" t="s">
        <v>22</v>
      </c>
      <c r="G38" s="11" t="s">
        <v>23</v>
      </c>
      <c r="H38" s="11" t="s">
        <v>24</v>
      </c>
      <c r="I38" s="12">
        <v>37.0</v>
      </c>
      <c r="J38" s="12" t="s">
        <v>116</v>
      </c>
      <c r="K38" s="10" t="s">
        <v>159</v>
      </c>
      <c r="L38" s="13" t="s">
        <v>160</v>
      </c>
      <c r="M38" s="10">
        <f t="shared" si="5"/>
        <v>14692</v>
      </c>
      <c r="N38" s="10">
        <v>0.0</v>
      </c>
      <c r="O38" s="10">
        <v>341.0</v>
      </c>
      <c r="P38" s="14">
        <f t="shared" si="6"/>
        <v>0.02320991016</v>
      </c>
      <c r="Q38" s="10">
        <v>303.0</v>
      </c>
      <c r="R38" s="10">
        <v>1.0</v>
      </c>
      <c r="S38" s="10">
        <v>11.0</v>
      </c>
      <c r="T38" s="10">
        <v>26.0</v>
      </c>
      <c r="U38" s="10">
        <v>14692.0</v>
      </c>
    </row>
    <row r="39">
      <c r="A39" s="8" t="str">
        <f t="shared" si="1"/>
        <v>Q1</v>
      </c>
      <c r="B39" s="8">
        <f t="shared" si="2"/>
        <v>45377</v>
      </c>
      <c r="C39" s="9" t="s">
        <v>161</v>
      </c>
      <c r="D39" s="9">
        <f t="shared" si="3"/>
        <v>45377</v>
      </c>
      <c r="E39" s="9" t="str">
        <f t="shared" si="4"/>
        <v>02:00 PM BST</v>
      </c>
      <c r="F39" s="10" t="s">
        <v>22</v>
      </c>
      <c r="G39" s="11" t="s">
        <v>23</v>
      </c>
      <c r="H39" s="11" t="s">
        <v>23</v>
      </c>
      <c r="I39" s="12">
        <v>38.0</v>
      </c>
      <c r="J39" s="12" t="s">
        <v>162</v>
      </c>
      <c r="K39" s="10" t="s">
        <v>163</v>
      </c>
      <c r="L39" s="13" t="s">
        <v>164</v>
      </c>
      <c r="M39" s="10">
        <f t="shared" si="5"/>
        <v>12442</v>
      </c>
      <c r="N39" s="10">
        <v>0.0</v>
      </c>
      <c r="O39" s="10">
        <v>168.0</v>
      </c>
      <c r="P39" s="14">
        <f t="shared" si="6"/>
        <v>0.01350265231</v>
      </c>
      <c r="Q39" s="10">
        <v>153.0</v>
      </c>
      <c r="R39" s="10">
        <v>1.0</v>
      </c>
      <c r="S39" s="10">
        <v>5.0</v>
      </c>
      <c r="T39" s="10">
        <v>9.0</v>
      </c>
      <c r="U39" s="10">
        <v>12442.0</v>
      </c>
    </row>
    <row r="40">
      <c r="A40" s="8" t="str">
        <f t="shared" si="1"/>
        <v>Q1</v>
      </c>
      <c r="B40" s="8">
        <f t="shared" si="2"/>
        <v>45378</v>
      </c>
      <c r="C40" s="9" t="s">
        <v>165</v>
      </c>
      <c r="D40" s="9">
        <f t="shared" si="3"/>
        <v>45378</v>
      </c>
      <c r="E40" s="9" t="str">
        <f t="shared" si="4"/>
        <v>02:00 PM BST</v>
      </c>
      <c r="F40" s="10" t="s">
        <v>22</v>
      </c>
      <c r="G40" s="11" t="s">
        <v>23</v>
      </c>
      <c r="H40" s="11" t="s">
        <v>23</v>
      </c>
      <c r="I40" s="12">
        <v>39.0</v>
      </c>
      <c r="J40" s="12" t="s">
        <v>162</v>
      </c>
      <c r="K40" s="10" t="s">
        <v>166</v>
      </c>
      <c r="L40" s="13" t="s">
        <v>167</v>
      </c>
      <c r="M40" s="10">
        <f t="shared" si="5"/>
        <v>38010</v>
      </c>
      <c r="N40" s="10">
        <v>0.0</v>
      </c>
      <c r="O40" s="10">
        <v>1566.0</v>
      </c>
      <c r="P40" s="14">
        <f t="shared" si="6"/>
        <v>0.04119968429</v>
      </c>
      <c r="Q40" s="10">
        <v>1193.0</v>
      </c>
      <c r="R40" s="10">
        <v>41.0</v>
      </c>
      <c r="S40" s="10">
        <v>89.0</v>
      </c>
      <c r="T40" s="10">
        <v>243.0</v>
      </c>
      <c r="U40" s="10">
        <v>38010.0</v>
      </c>
    </row>
    <row r="41">
      <c r="A41" s="8" t="str">
        <f t="shared" si="1"/>
        <v>Q1</v>
      </c>
      <c r="B41" s="8">
        <f t="shared" si="2"/>
        <v>45379</v>
      </c>
      <c r="C41" s="9" t="s">
        <v>168</v>
      </c>
      <c r="D41" s="9">
        <f t="shared" si="3"/>
        <v>45379</v>
      </c>
      <c r="E41" s="9" t="str">
        <f t="shared" si="4"/>
        <v>05:00 PM BST</v>
      </c>
      <c r="F41" s="10" t="s">
        <v>22</v>
      </c>
      <c r="G41" s="11" t="s">
        <v>23</v>
      </c>
      <c r="H41" s="11" t="s">
        <v>23</v>
      </c>
      <c r="I41" s="12">
        <v>40.0</v>
      </c>
      <c r="J41" s="12" t="s">
        <v>106</v>
      </c>
      <c r="K41" s="10" t="s">
        <v>169</v>
      </c>
      <c r="L41" s="13" t="s">
        <v>170</v>
      </c>
      <c r="M41" s="10">
        <f t="shared" si="5"/>
        <v>87108</v>
      </c>
      <c r="N41" s="10">
        <v>0.0</v>
      </c>
      <c r="O41" s="10">
        <v>6587.0</v>
      </c>
      <c r="P41" s="14">
        <f t="shared" si="6"/>
        <v>0.0756187721</v>
      </c>
      <c r="Q41" s="10">
        <v>4485.0</v>
      </c>
      <c r="R41" s="10">
        <v>86.0</v>
      </c>
      <c r="S41" s="10">
        <v>734.0</v>
      </c>
      <c r="T41" s="10">
        <v>1282.0</v>
      </c>
      <c r="U41" s="10">
        <v>87108.0</v>
      </c>
    </row>
    <row r="42">
      <c r="A42" s="8" t="str">
        <f t="shared" si="1"/>
        <v>Q1</v>
      </c>
      <c r="B42" s="8">
        <f t="shared" si="2"/>
        <v>45380</v>
      </c>
      <c r="C42" s="9" t="s">
        <v>171</v>
      </c>
      <c r="D42" s="9">
        <f t="shared" si="3"/>
        <v>45380</v>
      </c>
      <c r="E42" s="9" t="str">
        <f t="shared" si="4"/>
        <v>07:59 PM BST</v>
      </c>
      <c r="F42" s="10" t="s">
        <v>29</v>
      </c>
      <c r="G42" s="11" t="s">
        <v>23</v>
      </c>
      <c r="H42" s="11" t="s">
        <v>24</v>
      </c>
      <c r="I42" s="12">
        <v>41.0</v>
      </c>
      <c r="J42" s="12" t="s">
        <v>25</v>
      </c>
      <c r="K42" s="10" t="s">
        <v>172</v>
      </c>
      <c r="L42" s="13" t="s">
        <v>173</v>
      </c>
      <c r="M42" s="10">
        <f t="shared" si="5"/>
        <v>33913</v>
      </c>
      <c r="N42" s="10">
        <v>33913.0</v>
      </c>
      <c r="O42" s="10">
        <v>1144.0</v>
      </c>
      <c r="P42" s="14">
        <f t="shared" si="6"/>
        <v>0.03373337658</v>
      </c>
      <c r="Q42" s="10">
        <v>1033.0</v>
      </c>
      <c r="R42" s="10">
        <v>14.0</v>
      </c>
      <c r="S42" s="10">
        <v>0.0</v>
      </c>
      <c r="T42" s="10">
        <v>97.0</v>
      </c>
      <c r="U42" s="10">
        <v>0.0</v>
      </c>
    </row>
    <row r="43">
      <c r="A43" s="8" t="str">
        <f t="shared" si="1"/>
        <v>Q1</v>
      </c>
      <c r="B43" s="8">
        <f t="shared" si="2"/>
        <v>45380</v>
      </c>
      <c r="C43" s="9" t="s">
        <v>174</v>
      </c>
      <c r="D43" s="9">
        <f t="shared" si="3"/>
        <v>45380</v>
      </c>
      <c r="E43" s="9" t="str">
        <f t="shared" si="4"/>
        <v>02:00 PM BST</v>
      </c>
      <c r="F43" s="10" t="s">
        <v>22</v>
      </c>
      <c r="G43" s="11" t="s">
        <v>23</v>
      </c>
      <c r="H43" s="11" t="s">
        <v>23</v>
      </c>
      <c r="I43" s="12">
        <v>42.0</v>
      </c>
      <c r="J43" s="12" t="s">
        <v>162</v>
      </c>
      <c r="K43" s="10" t="s">
        <v>175</v>
      </c>
      <c r="L43" s="13" t="s">
        <v>176</v>
      </c>
      <c r="M43" s="10">
        <f t="shared" si="5"/>
        <v>19039</v>
      </c>
      <c r="N43" s="10">
        <v>0.0</v>
      </c>
      <c r="O43" s="10">
        <v>467.0</v>
      </c>
      <c r="P43" s="14">
        <f t="shared" si="6"/>
        <v>0.02452859919</v>
      </c>
      <c r="Q43" s="10">
        <v>402.0</v>
      </c>
      <c r="R43" s="10">
        <v>7.0</v>
      </c>
      <c r="S43" s="10">
        <v>10.0</v>
      </c>
      <c r="T43" s="10">
        <v>48.0</v>
      </c>
      <c r="U43" s="10">
        <v>19039.0</v>
      </c>
    </row>
    <row r="44">
      <c r="A44" s="15" t="str">
        <f t="shared" si="1"/>
        <v>Q2</v>
      </c>
      <c r="B44" s="15">
        <f t="shared" si="2"/>
        <v>45387</v>
      </c>
      <c r="C44" s="16" t="s">
        <v>177</v>
      </c>
      <c r="D44" s="9">
        <f t="shared" ref="D44:D71" si="7">INT(DATEVALUE(SUBSTITUTE(C44, " BST", "")))</f>
        <v>45387</v>
      </c>
      <c r="E44" s="9" t="str">
        <f t="shared" ref="E44:E71" si="8">TRIM(MID(C44, FIND(" ", C44) + 1, LEN(C44)))</f>
        <v>2:00pm BST</v>
      </c>
      <c r="F44" s="17" t="s">
        <v>22</v>
      </c>
      <c r="G44" s="18" t="s">
        <v>23</v>
      </c>
      <c r="H44" s="18" t="s">
        <v>23</v>
      </c>
      <c r="I44" s="12">
        <v>43.0</v>
      </c>
      <c r="J44" s="12" t="s">
        <v>162</v>
      </c>
      <c r="K44" s="17" t="s">
        <v>178</v>
      </c>
      <c r="L44" s="19" t="s">
        <v>179</v>
      </c>
      <c r="M44" s="17">
        <f t="shared" si="5"/>
        <v>13022</v>
      </c>
      <c r="N44" s="17">
        <v>0.0</v>
      </c>
      <c r="O44" s="17">
        <v>307.0</v>
      </c>
      <c r="P44" s="20">
        <f t="shared" si="6"/>
        <v>0.02357548764</v>
      </c>
      <c r="Q44" s="17">
        <v>281.0</v>
      </c>
      <c r="R44" s="17">
        <v>2.0</v>
      </c>
      <c r="S44" s="17">
        <v>8.0</v>
      </c>
      <c r="T44" s="17">
        <v>16.0</v>
      </c>
      <c r="U44" s="17">
        <v>13022.0</v>
      </c>
    </row>
    <row r="45">
      <c r="A45" s="15" t="str">
        <f t="shared" si="1"/>
        <v>Q2</v>
      </c>
      <c r="B45" s="15">
        <f t="shared" si="2"/>
        <v>45399</v>
      </c>
      <c r="C45" s="16" t="s">
        <v>180</v>
      </c>
      <c r="D45" s="9">
        <f t="shared" si="7"/>
        <v>45399</v>
      </c>
      <c r="E45" s="9" t="str">
        <f t="shared" si="8"/>
        <v>5:45pm BST</v>
      </c>
      <c r="F45" s="17" t="s">
        <v>22</v>
      </c>
      <c r="G45" s="18" t="s">
        <v>23</v>
      </c>
      <c r="H45" s="18" t="s">
        <v>23</v>
      </c>
      <c r="I45" s="12">
        <v>44.0</v>
      </c>
      <c r="J45" s="12" t="s">
        <v>181</v>
      </c>
      <c r="K45" s="17" t="s">
        <v>182</v>
      </c>
      <c r="L45" s="19" t="s">
        <v>183</v>
      </c>
      <c r="M45" s="17">
        <f t="shared" si="5"/>
        <v>15182</v>
      </c>
      <c r="N45" s="17">
        <v>0.0</v>
      </c>
      <c r="O45" s="17">
        <v>321.0</v>
      </c>
      <c r="P45" s="20">
        <f t="shared" si="6"/>
        <v>0.02114345936</v>
      </c>
      <c r="Q45" s="17">
        <v>274.0</v>
      </c>
      <c r="R45" s="17">
        <v>3.0</v>
      </c>
      <c r="S45" s="17">
        <v>11.0</v>
      </c>
      <c r="T45" s="17">
        <v>33.0</v>
      </c>
      <c r="U45" s="17">
        <v>15182.0</v>
      </c>
    </row>
    <row r="46">
      <c r="A46" s="15" t="str">
        <f t="shared" si="1"/>
        <v>Q2</v>
      </c>
      <c r="B46" s="15">
        <f t="shared" si="2"/>
        <v>45400</v>
      </c>
      <c r="C46" s="16" t="s">
        <v>184</v>
      </c>
      <c r="D46" s="9">
        <f t="shared" si="7"/>
        <v>45400</v>
      </c>
      <c r="E46" s="9" t="str">
        <f t="shared" si="8"/>
        <v>5:00pm BST</v>
      </c>
      <c r="F46" s="17" t="s">
        <v>29</v>
      </c>
      <c r="G46" s="18" t="s">
        <v>23</v>
      </c>
      <c r="H46" s="18" t="s">
        <v>23</v>
      </c>
      <c r="I46" s="12">
        <v>45.0</v>
      </c>
      <c r="J46" s="12" t="s">
        <v>181</v>
      </c>
      <c r="K46" s="17" t="s">
        <v>185</v>
      </c>
      <c r="L46" s="19" t="s">
        <v>186</v>
      </c>
      <c r="M46" s="17">
        <f t="shared" si="5"/>
        <v>16638</v>
      </c>
      <c r="N46" s="17">
        <v>16638.0</v>
      </c>
      <c r="O46" s="17">
        <v>335.0</v>
      </c>
      <c r="P46" s="20">
        <f t="shared" si="6"/>
        <v>0.02013463157</v>
      </c>
      <c r="Q46" s="17">
        <v>293.0</v>
      </c>
      <c r="R46" s="17">
        <v>5.0</v>
      </c>
      <c r="S46" s="17">
        <v>0.0</v>
      </c>
      <c r="T46" s="17">
        <v>37.0</v>
      </c>
      <c r="U46" s="17">
        <v>0.0</v>
      </c>
    </row>
    <row r="47">
      <c r="A47" s="15" t="str">
        <f t="shared" si="1"/>
        <v>Q2</v>
      </c>
      <c r="B47" s="15">
        <f t="shared" si="2"/>
        <v>45404</v>
      </c>
      <c r="C47" s="16" t="s">
        <v>187</v>
      </c>
      <c r="D47" s="9">
        <f t="shared" si="7"/>
        <v>45404</v>
      </c>
      <c r="E47" s="9" t="str">
        <f t="shared" si="8"/>
        <v>10:01pm BST</v>
      </c>
      <c r="F47" s="17" t="s">
        <v>29</v>
      </c>
      <c r="G47" s="18" t="s">
        <v>23</v>
      </c>
      <c r="H47" s="18" t="s">
        <v>23</v>
      </c>
      <c r="I47" s="12">
        <v>46.0</v>
      </c>
      <c r="J47" s="12" t="s">
        <v>188</v>
      </c>
      <c r="K47" s="17" t="s">
        <v>189</v>
      </c>
      <c r="L47" s="19" t="s">
        <v>190</v>
      </c>
      <c r="M47" s="17">
        <f t="shared" si="5"/>
        <v>13434</v>
      </c>
      <c r="N47" s="17">
        <v>13434.0</v>
      </c>
      <c r="O47" s="17">
        <v>238.0</v>
      </c>
      <c r="P47" s="20">
        <f t="shared" si="6"/>
        <v>0.01771624237</v>
      </c>
      <c r="Q47" s="17">
        <v>222.0</v>
      </c>
      <c r="R47" s="17">
        <v>1.0</v>
      </c>
      <c r="S47" s="17">
        <v>0.0</v>
      </c>
      <c r="T47" s="17">
        <v>15.0</v>
      </c>
      <c r="U47" s="17">
        <v>0.0</v>
      </c>
    </row>
    <row r="48">
      <c r="A48" s="15" t="str">
        <f t="shared" si="1"/>
        <v>Q2</v>
      </c>
      <c r="B48" s="15">
        <f t="shared" si="2"/>
        <v>45406</v>
      </c>
      <c r="C48" s="16" t="s">
        <v>191</v>
      </c>
      <c r="D48" s="9">
        <f t="shared" si="7"/>
        <v>45406</v>
      </c>
      <c r="E48" s="9" t="str">
        <f t="shared" si="8"/>
        <v>5:32pm BST</v>
      </c>
      <c r="F48" s="17" t="s">
        <v>22</v>
      </c>
      <c r="G48" s="18" t="s">
        <v>24</v>
      </c>
      <c r="H48" s="18" t="s">
        <v>24</v>
      </c>
      <c r="I48" s="12">
        <v>47.0</v>
      </c>
      <c r="J48" s="12" t="s">
        <v>120</v>
      </c>
      <c r="K48" s="17" t="s">
        <v>192</v>
      </c>
      <c r="L48" s="19" t="s">
        <v>193</v>
      </c>
      <c r="M48" s="17">
        <f t="shared" si="5"/>
        <v>19683</v>
      </c>
      <c r="N48" s="17">
        <v>0.0</v>
      </c>
      <c r="O48" s="17">
        <v>448.0</v>
      </c>
      <c r="P48" s="20">
        <f t="shared" si="6"/>
        <v>0.02276075801</v>
      </c>
      <c r="Q48" s="17">
        <v>372.0</v>
      </c>
      <c r="R48" s="17">
        <v>2.0</v>
      </c>
      <c r="S48" s="17">
        <v>15.0</v>
      </c>
      <c r="T48" s="17">
        <v>59.0</v>
      </c>
      <c r="U48" s="17">
        <v>19683.0</v>
      </c>
    </row>
    <row r="49">
      <c r="A49" s="15" t="str">
        <f t="shared" si="1"/>
        <v>Q2</v>
      </c>
      <c r="B49" s="15">
        <f t="shared" si="2"/>
        <v>45407</v>
      </c>
      <c r="C49" s="16" t="s">
        <v>194</v>
      </c>
      <c r="D49" s="9">
        <f t="shared" si="7"/>
        <v>45407</v>
      </c>
      <c r="E49" s="9" t="str">
        <f t="shared" si="8"/>
        <v>3:16pm BST</v>
      </c>
      <c r="F49" s="17" t="s">
        <v>22</v>
      </c>
      <c r="G49" s="18" t="s">
        <v>24</v>
      </c>
      <c r="H49" s="18" t="s">
        <v>24</v>
      </c>
      <c r="I49" s="12">
        <v>48.0</v>
      </c>
      <c r="J49" s="12" t="s">
        <v>120</v>
      </c>
      <c r="K49" s="17" t="s">
        <v>195</v>
      </c>
      <c r="L49" s="19" t="s">
        <v>196</v>
      </c>
      <c r="M49" s="17">
        <f t="shared" si="5"/>
        <v>19381</v>
      </c>
      <c r="N49" s="17">
        <v>0.0</v>
      </c>
      <c r="O49" s="17">
        <v>683.0</v>
      </c>
      <c r="P49" s="20">
        <f t="shared" si="6"/>
        <v>0.03524069965</v>
      </c>
      <c r="Q49" s="17">
        <v>535.0</v>
      </c>
      <c r="R49" s="17">
        <v>13.0</v>
      </c>
      <c r="S49" s="17">
        <v>39.0</v>
      </c>
      <c r="T49" s="17">
        <v>96.0</v>
      </c>
      <c r="U49" s="17">
        <v>19381.0</v>
      </c>
    </row>
    <row r="50">
      <c r="A50" s="15" t="str">
        <f t="shared" si="1"/>
        <v>Q2</v>
      </c>
      <c r="B50" s="15">
        <f t="shared" si="2"/>
        <v>45422</v>
      </c>
      <c r="C50" s="16" t="s">
        <v>197</v>
      </c>
      <c r="D50" s="9">
        <f t="shared" si="7"/>
        <v>45422</v>
      </c>
      <c r="E50" s="9" t="str">
        <f t="shared" si="8"/>
        <v>3:02pm BST</v>
      </c>
      <c r="F50" s="17" t="s">
        <v>29</v>
      </c>
      <c r="G50" s="18" t="s">
        <v>23</v>
      </c>
      <c r="H50" s="18" t="s">
        <v>23</v>
      </c>
      <c r="I50" s="12">
        <v>49.0</v>
      </c>
      <c r="J50" s="12" t="s">
        <v>198</v>
      </c>
      <c r="K50" s="17" t="s">
        <v>199</v>
      </c>
      <c r="L50" s="19" t="s">
        <v>200</v>
      </c>
      <c r="M50" s="17">
        <f t="shared" si="5"/>
        <v>31492</v>
      </c>
      <c r="N50" s="17">
        <v>31492.0</v>
      </c>
      <c r="O50" s="17">
        <v>932.0</v>
      </c>
      <c r="P50" s="20">
        <f t="shared" si="6"/>
        <v>0.02959481773</v>
      </c>
      <c r="Q50" s="17">
        <v>818.0</v>
      </c>
      <c r="R50" s="17">
        <v>20.0</v>
      </c>
      <c r="S50" s="17">
        <v>0.0</v>
      </c>
      <c r="T50" s="17">
        <v>94.0</v>
      </c>
      <c r="U50" s="17">
        <v>0.0</v>
      </c>
    </row>
    <row r="51">
      <c r="A51" s="15" t="str">
        <f t="shared" si="1"/>
        <v>Q2</v>
      </c>
      <c r="B51" s="15">
        <f t="shared" si="2"/>
        <v>45425</v>
      </c>
      <c r="C51" s="16" t="s">
        <v>201</v>
      </c>
      <c r="D51" s="9">
        <f t="shared" si="7"/>
        <v>45425</v>
      </c>
      <c r="E51" s="9" t="str">
        <f t="shared" si="8"/>
        <v>3:02pm BST</v>
      </c>
      <c r="F51" s="17" t="s">
        <v>29</v>
      </c>
      <c r="G51" s="18" t="s">
        <v>23</v>
      </c>
      <c r="H51" s="18" t="s">
        <v>23</v>
      </c>
      <c r="I51" s="12">
        <v>50.0</v>
      </c>
      <c r="J51" s="12" t="s">
        <v>198</v>
      </c>
      <c r="K51" s="17" t="s">
        <v>202</v>
      </c>
      <c r="L51" s="19" t="s">
        <v>203</v>
      </c>
      <c r="M51" s="17">
        <f t="shared" si="5"/>
        <v>21567</v>
      </c>
      <c r="N51" s="17">
        <v>21567.0</v>
      </c>
      <c r="O51" s="17">
        <v>729.0</v>
      </c>
      <c r="P51" s="20">
        <f t="shared" si="6"/>
        <v>0.0338016414</v>
      </c>
      <c r="Q51" s="17">
        <v>625.0</v>
      </c>
      <c r="R51" s="17">
        <v>26.0</v>
      </c>
      <c r="S51" s="17">
        <v>0.0</v>
      </c>
      <c r="T51" s="17">
        <v>78.0</v>
      </c>
      <c r="U51" s="17">
        <v>0.0</v>
      </c>
    </row>
    <row r="52">
      <c r="A52" s="15" t="str">
        <f t="shared" si="1"/>
        <v>Q2</v>
      </c>
      <c r="B52" s="15">
        <f t="shared" si="2"/>
        <v>45427</v>
      </c>
      <c r="C52" s="16" t="s">
        <v>204</v>
      </c>
      <c r="D52" s="9">
        <f t="shared" si="7"/>
        <v>45427</v>
      </c>
      <c r="E52" s="9" t="str">
        <f t="shared" si="8"/>
        <v>10:22pm BST</v>
      </c>
      <c r="F52" s="17" t="s">
        <v>22</v>
      </c>
      <c r="G52" s="18" t="s">
        <v>23</v>
      </c>
      <c r="H52" s="18" t="s">
        <v>24</v>
      </c>
      <c r="I52" s="12">
        <v>51.0</v>
      </c>
      <c r="J52" s="12" t="s">
        <v>106</v>
      </c>
      <c r="K52" s="17" t="s">
        <v>205</v>
      </c>
      <c r="L52" s="19" t="s">
        <v>206</v>
      </c>
      <c r="M52" s="17">
        <f t="shared" si="5"/>
        <v>15441</v>
      </c>
      <c r="N52" s="17">
        <v>0.0</v>
      </c>
      <c r="O52" s="17">
        <v>521.0</v>
      </c>
      <c r="P52" s="20">
        <f t="shared" si="6"/>
        <v>0.033741338</v>
      </c>
      <c r="Q52" s="17">
        <v>443.0</v>
      </c>
      <c r="R52" s="17">
        <v>1.0</v>
      </c>
      <c r="S52" s="17">
        <v>26.0</v>
      </c>
      <c r="T52" s="17">
        <v>51.0</v>
      </c>
      <c r="U52" s="17">
        <v>15441.0</v>
      </c>
    </row>
    <row r="53">
      <c r="A53" s="15" t="str">
        <f t="shared" si="1"/>
        <v>Q2</v>
      </c>
      <c r="B53" s="15">
        <f t="shared" si="2"/>
        <v>45428</v>
      </c>
      <c r="C53" s="16" t="s">
        <v>207</v>
      </c>
      <c r="D53" s="9">
        <f t="shared" si="7"/>
        <v>45428</v>
      </c>
      <c r="E53" s="9" t="str">
        <f t="shared" si="8"/>
        <v>2:00pm BST</v>
      </c>
      <c r="F53" s="17" t="s">
        <v>22</v>
      </c>
      <c r="G53" s="18" t="s">
        <v>23</v>
      </c>
      <c r="H53" s="18" t="s">
        <v>23</v>
      </c>
      <c r="I53" s="12">
        <v>52.0</v>
      </c>
      <c r="J53" s="12" t="s">
        <v>208</v>
      </c>
      <c r="K53" s="17" t="s">
        <v>209</v>
      </c>
      <c r="L53" s="19" t="s">
        <v>210</v>
      </c>
      <c r="M53" s="17">
        <f t="shared" si="5"/>
        <v>11936</v>
      </c>
      <c r="N53" s="17">
        <v>0.0</v>
      </c>
      <c r="O53" s="17">
        <v>270.0</v>
      </c>
      <c r="P53" s="20">
        <f t="shared" si="6"/>
        <v>0.02262064343</v>
      </c>
      <c r="Q53" s="17">
        <v>238.0</v>
      </c>
      <c r="R53" s="17">
        <v>10.0</v>
      </c>
      <c r="S53" s="17">
        <v>10.0</v>
      </c>
      <c r="T53" s="17">
        <v>12.0</v>
      </c>
      <c r="U53" s="17">
        <v>11936.0</v>
      </c>
    </row>
    <row r="54">
      <c r="A54" s="15" t="str">
        <f t="shared" si="1"/>
        <v>Q2</v>
      </c>
      <c r="B54" s="15">
        <f t="shared" si="2"/>
        <v>45429</v>
      </c>
      <c r="C54" s="16" t="s">
        <v>211</v>
      </c>
      <c r="D54" s="9">
        <f t="shared" si="7"/>
        <v>45429</v>
      </c>
      <c r="E54" s="9" t="str">
        <f t="shared" si="8"/>
        <v>4:03pm BST</v>
      </c>
      <c r="F54" s="17" t="s">
        <v>22</v>
      </c>
      <c r="G54" s="18" t="s">
        <v>23</v>
      </c>
      <c r="H54" s="18" t="s">
        <v>24</v>
      </c>
      <c r="I54" s="12">
        <v>53.0</v>
      </c>
      <c r="J54" s="12" t="s">
        <v>106</v>
      </c>
      <c r="K54" s="17" t="s">
        <v>212</v>
      </c>
      <c r="L54" s="19" t="s">
        <v>213</v>
      </c>
      <c r="M54" s="17">
        <f t="shared" si="5"/>
        <v>124530</v>
      </c>
      <c r="N54" s="17">
        <v>0.0</v>
      </c>
      <c r="O54" s="17">
        <v>10091.0</v>
      </c>
      <c r="P54" s="20">
        <f t="shared" si="6"/>
        <v>0.08103268289</v>
      </c>
      <c r="Q54" s="17">
        <v>6757.0</v>
      </c>
      <c r="R54" s="17">
        <v>104.0</v>
      </c>
      <c r="S54" s="17">
        <v>1245.0</v>
      </c>
      <c r="T54" s="17">
        <v>1985.0</v>
      </c>
      <c r="U54" s="17">
        <v>124530.0</v>
      </c>
    </row>
    <row r="55">
      <c r="A55" s="15" t="str">
        <f t="shared" si="1"/>
        <v>Q2</v>
      </c>
      <c r="B55" s="15">
        <f t="shared" si="2"/>
        <v>45430</v>
      </c>
      <c r="C55" s="16" t="s">
        <v>214</v>
      </c>
      <c r="D55" s="9">
        <f t="shared" si="7"/>
        <v>45430</v>
      </c>
      <c r="E55" s="9" t="str">
        <f t="shared" si="8"/>
        <v>3:37pm BST</v>
      </c>
      <c r="F55" s="17" t="s">
        <v>22</v>
      </c>
      <c r="G55" s="18" t="s">
        <v>23</v>
      </c>
      <c r="H55" s="18" t="s">
        <v>24</v>
      </c>
      <c r="I55" s="12">
        <v>54.0</v>
      </c>
      <c r="J55" s="12" t="s">
        <v>215</v>
      </c>
      <c r="K55" s="17" t="s">
        <v>216</v>
      </c>
      <c r="L55" s="19" t="s">
        <v>217</v>
      </c>
      <c r="M55" s="17">
        <f t="shared" si="5"/>
        <v>21234</v>
      </c>
      <c r="N55" s="17">
        <v>0.0</v>
      </c>
      <c r="O55" s="17">
        <v>551.0</v>
      </c>
      <c r="P55" s="20">
        <f t="shared" si="6"/>
        <v>0.0259489498</v>
      </c>
      <c r="Q55" s="17">
        <v>506.0</v>
      </c>
      <c r="R55" s="17">
        <v>9.0</v>
      </c>
      <c r="S55" s="17">
        <v>4.0</v>
      </c>
      <c r="T55" s="17">
        <v>32.0</v>
      </c>
      <c r="U55" s="17">
        <v>21234.0</v>
      </c>
    </row>
    <row r="56">
      <c r="A56" s="15" t="str">
        <f t="shared" si="1"/>
        <v>Q2</v>
      </c>
      <c r="B56" s="15">
        <f t="shared" si="2"/>
        <v>45434</v>
      </c>
      <c r="C56" s="16" t="s">
        <v>218</v>
      </c>
      <c r="D56" s="9">
        <f t="shared" si="7"/>
        <v>45434</v>
      </c>
      <c r="E56" s="9" t="str">
        <f t="shared" si="8"/>
        <v>5:15pm BST</v>
      </c>
      <c r="F56" s="17" t="s">
        <v>22</v>
      </c>
      <c r="G56" s="18" t="s">
        <v>24</v>
      </c>
      <c r="H56" s="18" t="s">
        <v>24</v>
      </c>
      <c r="I56" s="12">
        <v>55.0</v>
      </c>
      <c r="J56" s="12" t="s">
        <v>208</v>
      </c>
      <c r="K56" s="17" t="s">
        <v>219</v>
      </c>
      <c r="L56" s="19" t="s">
        <v>220</v>
      </c>
      <c r="M56" s="17">
        <f t="shared" si="5"/>
        <v>12988</v>
      </c>
      <c r="N56" s="17">
        <v>0.0</v>
      </c>
      <c r="O56" s="17">
        <v>397.0</v>
      </c>
      <c r="P56" s="20">
        <f t="shared" si="6"/>
        <v>0.03056667693</v>
      </c>
      <c r="Q56" s="17">
        <v>324.0</v>
      </c>
      <c r="R56" s="17">
        <v>19.0</v>
      </c>
      <c r="S56" s="17">
        <v>15.0</v>
      </c>
      <c r="T56" s="17">
        <v>39.0</v>
      </c>
      <c r="U56" s="17">
        <v>12988.0</v>
      </c>
    </row>
    <row r="57">
      <c r="A57" s="15" t="str">
        <f t="shared" si="1"/>
        <v>Q2</v>
      </c>
      <c r="B57" s="15">
        <f t="shared" si="2"/>
        <v>45435</v>
      </c>
      <c r="C57" s="16" t="s">
        <v>221</v>
      </c>
      <c r="D57" s="9">
        <f t="shared" si="7"/>
        <v>45435</v>
      </c>
      <c r="E57" s="9" t="str">
        <f t="shared" si="8"/>
        <v>9:32pm BST</v>
      </c>
      <c r="F57" s="17" t="s">
        <v>29</v>
      </c>
      <c r="G57" s="18" t="s">
        <v>23</v>
      </c>
      <c r="H57" s="18" t="s">
        <v>23</v>
      </c>
      <c r="I57" s="12">
        <v>56.0</v>
      </c>
      <c r="J57" s="12" t="s">
        <v>120</v>
      </c>
      <c r="K57" s="17" t="s">
        <v>222</v>
      </c>
      <c r="L57" s="19" t="s">
        <v>223</v>
      </c>
      <c r="M57" s="17">
        <f t="shared" si="5"/>
        <v>13596</v>
      </c>
      <c r="N57" s="17">
        <v>13596.0</v>
      </c>
      <c r="O57" s="17">
        <v>282.0</v>
      </c>
      <c r="P57" s="20">
        <f t="shared" si="6"/>
        <v>0.02074139453</v>
      </c>
      <c r="Q57" s="17">
        <v>257.0</v>
      </c>
      <c r="R57" s="17">
        <v>6.0</v>
      </c>
      <c r="S57" s="17">
        <v>0.0</v>
      </c>
      <c r="T57" s="17">
        <v>19.0</v>
      </c>
      <c r="U57" s="17">
        <v>3427.0</v>
      </c>
    </row>
    <row r="58">
      <c r="A58" s="15" t="str">
        <f t="shared" si="1"/>
        <v>Q2</v>
      </c>
      <c r="B58" s="15">
        <f t="shared" si="2"/>
        <v>45442</v>
      </c>
      <c r="C58" s="16" t="s">
        <v>224</v>
      </c>
      <c r="D58" s="9">
        <f t="shared" si="7"/>
        <v>45442</v>
      </c>
      <c r="E58" s="9" t="str">
        <f t="shared" si="8"/>
        <v>6:00pm BST</v>
      </c>
      <c r="F58" s="17" t="s">
        <v>22</v>
      </c>
      <c r="G58" s="18" t="s">
        <v>23</v>
      </c>
      <c r="H58" s="18" t="s">
        <v>23</v>
      </c>
      <c r="I58" s="12">
        <v>57.0</v>
      </c>
      <c r="J58" s="12" t="s">
        <v>225</v>
      </c>
      <c r="K58" s="17" t="s">
        <v>226</v>
      </c>
      <c r="L58" s="19" t="s">
        <v>227</v>
      </c>
      <c r="M58" s="17">
        <f t="shared" si="5"/>
        <v>23173</v>
      </c>
      <c r="N58" s="17">
        <v>0.0</v>
      </c>
      <c r="O58" s="17">
        <v>1014.0</v>
      </c>
      <c r="P58" s="20">
        <f t="shared" si="6"/>
        <v>0.0437578216</v>
      </c>
      <c r="Q58" s="17">
        <v>846.0</v>
      </c>
      <c r="R58" s="17">
        <v>14.0</v>
      </c>
      <c r="S58" s="17">
        <v>47.0</v>
      </c>
      <c r="T58" s="17">
        <v>107.0</v>
      </c>
      <c r="U58" s="17">
        <v>23173.0</v>
      </c>
    </row>
    <row r="59">
      <c r="A59" s="15" t="str">
        <f t="shared" si="1"/>
        <v>Q2</v>
      </c>
      <c r="B59" s="15">
        <f t="shared" si="2"/>
        <v>45442</v>
      </c>
      <c r="C59" s="16" t="s">
        <v>228</v>
      </c>
      <c r="D59" s="9">
        <f t="shared" si="7"/>
        <v>45442</v>
      </c>
      <c r="E59" s="9" t="str">
        <f t="shared" si="8"/>
        <v>5:00pm BST</v>
      </c>
      <c r="F59" s="17" t="s">
        <v>22</v>
      </c>
      <c r="G59" s="18" t="s">
        <v>23</v>
      </c>
      <c r="H59" s="18" t="s">
        <v>23</v>
      </c>
      <c r="I59" s="12">
        <v>58.0</v>
      </c>
      <c r="J59" s="12" t="s">
        <v>229</v>
      </c>
      <c r="K59" s="17" t="s">
        <v>230</v>
      </c>
      <c r="L59" s="19" t="s">
        <v>231</v>
      </c>
      <c r="M59" s="17">
        <f t="shared" si="5"/>
        <v>19475</v>
      </c>
      <c r="N59" s="17">
        <v>0.0</v>
      </c>
      <c r="O59" s="17">
        <v>683.0</v>
      </c>
      <c r="P59" s="20">
        <f t="shared" si="6"/>
        <v>0.03507060334</v>
      </c>
      <c r="Q59" s="17">
        <v>605.0</v>
      </c>
      <c r="R59" s="17">
        <v>10.0</v>
      </c>
      <c r="S59" s="17">
        <v>30.0</v>
      </c>
      <c r="T59" s="17">
        <v>38.0</v>
      </c>
      <c r="U59" s="17">
        <v>19475.0</v>
      </c>
    </row>
    <row r="60">
      <c r="A60" s="15" t="str">
        <f t="shared" si="1"/>
        <v>Q2</v>
      </c>
      <c r="B60" s="15">
        <f t="shared" si="2"/>
        <v>45443</v>
      </c>
      <c r="C60" s="16" t="s">
        <v>232</v>
      </c>
      <c r="D60" s="9">
        <f t="shared" si="7"/>
        <v>45443</v>
      </c>
      <c r="E60" s="9" t="str">
        <f t="shared" si="8"/>
        <v>3:01pm BST</v>
      </c>
      <c r="F60" s="17" t="s">
        <v>22</v>
      </c>
      <c r="G60" s="18" t="s">
        <v>23</v>
      </c>
      <c r="H60" s="18" t="s">
        <v>23</v>
      </c>
      <c r="I60" s="12">
        <v>59.0</v>
      </c>
      <c r="J60" s="12" t="s">
        <v>233</v>
      </c>
      <c r="K60" s="17" t="s">
        <v>234</v>
      </c>
      <c r="L60" s="19" t="s">
        <v>235</v>
      </c>
      <c r="M60" s="17">
        <f t="shared" si="5"/>
        <v>13695</v>
      </c>
      <c r="N60" s="17">
        <v>0.0</v>
      </c>
      <c r="O60" s="17">
        <v>393.0</v>
      </c>
      <c r="P60" s="20">
        <f t="shared" si="6"/>
        <v>0.0286966046</v>
      </c>
      <c r="Q60" s="17">
        <v>336.0</v>
      </c>
      <c r="R60" s="17">
        <v>5.0</v>
      </c>
      <c r="S60" s="17">
        <v>15.0</v>
      </c>
      <c r="T60" s="17">
        <v>37.0</v>
      </c>
      <c r="U60" s="17">
        <v>13695.0</v>
      </c>
    </row>
    <row r="61">
      <c r="A61" s="15" t="str">
        <f t="shared" si="1"/>
        <v>Q2</v>
      </c>
      <c r="B61" s="15">
        <f t="shared" si="2"/>
        <v>45450</v>
      </c>
      <c r="C61" s="16" t="s">
        <v>236</v>
      </c>
      <c r="D61" s="9">
        <f t="shared" si="7"/>
        <v>45450</v>
      </c>
      <c r="E61" s="9" t="str">
        <f t="shared" si="8"/>
        <v>6:11pm BST</v>
      </c>
      <c r="F61" s="17" t="s">
        <v>22</v>
      </c>
      <c r="G61" s="18" t="s">
        <v>23</v>
      </c>
      <c r="H61" s="18" t="s">
        <v>24</v>
      </c>
      <c r="I61" s="12">
        <v>60.0</v>
      </c>
      <c r="J61" s="12" t="s">
        <v>106</v>
      </c>
      <c r="K61" s="17" t="s">
        <v>237</v>
      </c>
      <c r="L61" s="19" t="s">
        <v>238</v>
      </c>
      <c r="M61" s="17">
        <f t="shared" si="5"/>
        <v>17812</v>
      </c>
      <c r="N61" s="17">
        <v>0.0</v>
      </c>
      <c r="O61" s="17">
        <v>733.0</v>
      </c>
      <c r="P61" s="20">
        <f t="shared" si="6"/>
        <v>0.04115203234</v>
      </c>
      <c r="Q61" s="17">
        <v>554.0</v>
      </c>
      <c r="R61" s="17">
        <v>13.0</v>
      </c>
      <c r="S61" s="17">
        <v>55.0</v>
      </c>
      <c r="T61" s="17">
        <v>111.0</v>
      </c>
      <c r="U61" s="17">
        <v>17812.0</v>
      </c>
    </row>
    <row r="62">
      <c r="A62" s="15" t="str">
        <f t="shared" si="1"/>
        <v>Q2</v>
      </c>
      <c r="B62" s="15">
        <f t="shared" si="2"/>
        <v>45455</v>
      </c>
      <c r="C62" s="16" t="s">
        <v>239</v>
      </c>
      <c r="D62" s="9">
        <f t="shared" si="7"/>
        <v>45455</v>
      </c>
      <c r="E62" s="9" t="str">
        <f t="shared" si="8"/>
        <v>5:00pm BST</v>
      </c>
      <c r="F62" s="17" t="s">
        <v>22</v>
      </c>
      <c r="G62" s="18" t="s">
        <v>23</v>
      </c>
      <c r="H62" s="18" t="s">
        <v>23</v>
      </c>
      <c r="I62" s="12">
        <v>61.0</v>
      </c>
      <c r="J62" s="12" t="s">
        <v>240</v>
      </c>
      <c r="K62" s="17" t="s">
        <v>241</v>
      </c>
      <c r="L62" s="19" t="s">
        <v>242</v>
      </c>
      <c r="M62" s="17">
        <f t="shared" si="5"/>
        <v>23989</v>
      </c>
      <c r="N62" s="17">
        <v>0.0</v>
      </c>
      <c r="O62" s="17">
        <v>1016.0</v>
      </c>
      <c r="P62" s="20">
        <f t="shared" si="6"/>
        <v>0.04235274501</v>
      </c>
      <c r="Q62" s="17">
        <v>867.0</v>
      </c>
      <c r="R62" s="17">
        <v>22.0</v>
      </c>
      <c r="S62" s="17">
        <v>53.0</v>
      </c>
      <c r="T62" s="17">
        <v>74.0</v>
      </c>
      <c r="U62" s="17">
        <v>23989.0</v>
      </c>
    </row>
    <row r="63">
      <c r="A63" s="15" t="str">
        <f t="shared" si="1"/>
        <v>Q2</v>
      </c>
      <c r="B63" s="15">
        <f t="shared" si="2"/>
        <v>45457</v>
      </c>
      <c r="C63" s="16" t="s">
        <v>243</v>
      </c>
      <c r="D63" s="9">
        <f t="shared" si="7"/>
        <v>45457</v>
      </c>
      <c r="E63" s="9" t="str">
        <f t="shared" si="8"/>
        <v>3:28pm BST</v>
      </c>
      <c r="F63" s="17" t="s">
        <v>22</v>
      </c>
      <c r="G63" s="18" t="s">
        <v>23</v>
      </c>
      <c r="H63" s="18" t="s">
        <v>24</v>
      </c>
      <c r="I63" s="12">
        <v>62.0</v>
      </c>
      <c r="J63" s="12" t="s">
        <v>244</v>
      </c>
      <c r="K63" s="17" t="s">
        <v>245</v>
      </c>
      <c r="L63" s="19" t="s">
        <v>246</v>
      </c>
      <c r="M63" s="17">
        <f t="shared" si="5"/>
        <v>13106</v>
      </c>
      <c r="N63" s="17">
        <v>0.0</v>
      </c>
      <c r="O63" s="17">
        <v>367.0</v>
      </c>
      <c r="P63" s="20">
        <f t="shared" si="6"/>
        <v>0.02800244163</v>
      </c>
      <c r="Q63" s="17">
        <v>317.0</v>
      </c>
      <c r="R63" s="17">
        <v>3.0</v>
      </c>
      <c r="S63" s="17">
        <v>15.0</v>
      </c>
      <c r="T63" s="17">
        <v>32.0</v>
      </c>
      <c r="U63" s="17">
        <v>13106.0</v>
      </c>
    </row>
    <row r="64">
      <c r="A64" s="15" t="str">
        <f t="shared" si="1"/>
        <v>Q2</v>
      </c>
      <c r="B64" s="15">
        <f t="shared" si="2"/>
        <v>45457</v>
      </c>
      <c r="C64" s="16" t="s">
        <v>247</v>
      </c>
      <c r="D64" s="9">
        <f t="shared" si="7"/>
        <v>45457</v>
      </c>
      <c r="E64" s="9" t="str">
        <f t="shared" si="8"/>
        <v>12:01am BST</v>
      </c>
      <c r="F64" s="17" t="s">
        <v>22</v>
      </c>
      <c r="G64" s="18" t="s">
        <v>24</v>
      </c>
      <c r="H64" s="18" t="s">
        <v>24</v>
      </c>
      <c r="I64" s="12">
        <v>63.0</v>
      </c>
      <c r="J64" s="12" t="s">
        <v>208</v>
      </c>
      <c r="K64" s="17" t="s">
        <v>248</v>
      </c>
      <c r="L64" s="19" t="s">
        <v>249</v>
      </c>
      <c r="M64" s="17">
        <f t="shared" si="5"/>
        <v>11048</v>
      </c>
      <c r="N64" s="17">
        <v>0.0</v>
      </c>
      <c r="O64" s="17">
        <v>263.0</v>
      </c>
      <c r="P64" s="20">
        <f t="shared" si="6"/>
        <v>0.02380521361</v>
      </c>
      <c r="Q64" s="17">
        <v>223.0</v>
      </c>
      <c r="R64" s="17">
        <v>9.0</v>
      </c>
      <c r="S64" s="17">
        <v>24.0</v>
      </c>
      <c r="T64" s="17">
        <v>7.0</v>
      </c>
      <c r="U64" s="17">
        <v>11048.0</v>
      </c>
    </row>
    <row r="65">
      <c r="A65" s="15" t="str">
        <f t="shared" si="1"/>
        <v>Q2</v>
      </c>
      <c r="B65" s="15">
        <f t="shared" si="2"/>
        <v>45458</v>
      </c>
      <c r="C65" s="16" t="s">
        <v>250</v>
      </c>
      <c r="D65" s="9">
        <f t="shared" si="7"/>
        <v>45458</v>
      </c>
      <c r="E65" s="9" t="str">
        <f t="shared" si="8"/>
        <v>3:31pm BST</v>
      </c>
      <c r="F65" s="17" t="s">
        <v>29</v>
      </c>
      <c r="G65" s="18" t="s">
        <v>23</v>
      </c>
      <c r="H65" s="18" t="s">
        <v>23</v>
      </c>
      <c r="I65" s="12">
        <v>64.0</v>
      </c>
      <c r="J65" s="12" t="s">
        <v>251</v>
      </c>
      <c r="K65" s="17" t="s">
        <v>252</v>
      </c>
      <c r="L65" s="19" t="s">
        <v>253</v>
      </c>
      <c r="M65" s="17">
        <f t="shared" si="5"/>
        <v>36597</v>
      </c>
      <c r="N65" s="17">
        <v>36597.0</v>
      </c>
      <c r="O65" s="17">
        <v>1285.0</v>
      </c>
      <c r="P65" s="20">
        <f t="shared" si="6"/>
        <v>0.03511216766</v>
      </c>
      <c r="Q65" s="17">
        <v>1140.0</v>
      </c>
      <c r="R65" s="17">
        <v>13.0</v>
      </c>
      <c r="S65" s="17">
        <v>0.0</v>
      </c>
      <c r="T65" s="17">
        <v>132.0</v>
      </c>
      <c r="U65" s="17">
        <v>0.0</v>
      </c>
    </row>
    <row r="66">
      <c r="A66" s="15" t="str">
        <f t="shared" si="1"/>
        <v>Q2</v>
      </c>
      <c r="B66" s="15">
        <f t="shared" si="2"/>
        <v>45460</v>
      </c>
      <c r="C66" s="16" t="s">
        <v>254</v>
      </c>
      <c r="D66" s="9">
        <f t="shared" si="7"/>
        <v>45460</v>
      </c>
      <c r="E66" s="9" t="str">
        <f t="shared" si="8"/>
        <v>3:13pm BST</v>
      </c>
      <c r="F66" s="17" t="s">
        <v>29</v>
      </c>
      <c r="G66" s="18" t="s">
        <v>23</v>
      </c>
      <c r="H66" s="18" t="s">
        <v>24</v>
      </c>
      <c r="I66" s="12">
        <v>65.0</v>
      </c>
      <c r="J66" s="12" t="s">
        <v>25</v>
      </c>
      <c r="K66" s="17" t="s">
        <v>255</v>
      </c>
      <c r="L66" s="19" t="s">
        <v>256</v>
      </c>
      <c r="M66" s="17">
        <f t="shared" si="5"/>
        <v>19572</v>
      </c>
      <c r="N66" s="17">
        <v>19572.0</v>
      </c>
      <c r="O66" s="17">
        <v>839.0</v>
      </c>
      <c r="P66" s="20">
        <f t="shared" si="6"/>
        <v>0.04286736154</v>
      </c>
      <c r="Q66" s="17">
        <v>763.0</v>
      </c>
      <c r="R66" s="17">
        <v>21.0</v>
      </c>
      <c r="S66" s="17">
        <v>0.0</v>
      </c>
      <c r="T66" s="17">
        <v>55.0</v>
      </c>
      <c r="U66" s="17">
        <v>0.0</v>
      </c>
    </row>
    <row r="67">
      <c r="A67" s="15" t="str">
        <f t="shared" si="1"/>
        <v>Q2</v>
      </c>
      <c r="B67" s="15">
        <f t="shared" si="2"/>
        <v>45461</v>
      </c>
      <c r="C67" s="16" t="s">
        <v>257</v>
      </c>
      <c r="D67" s="9">
        <f t="shared" si="7"/>
        <v>45461</v>
      </c>
      <c r="E67" s="9" t="str">
        <f t="shared" si="8"/>
        <v>2:01pm BST</v>
      </c>
      <c r="F67" s="17" t="s">
        <v>22</v>
      </c>
      <c r="G67" s="18" t="s">
        <v>23</v>
      </c>
      <c r="H67" s="18" t="s">
        <v>23</v>
      </c>
      <c r="I67" s="12">
        <v>66.0</v>
      </c>
      <c r="J67" s="12" t="s">
        <v>258</v>
      </c>
      <c r="K67" s="17" t="s">
        <v>259</v>
      </c>
      <c r="L67" s="19" t="s">
        <v>260</v>
      </c>
      <c r="M67" s="17">
        <f t="shared" si="5"/>
        <v>44512</v>
      </c>
      <c r="N67" s="17">
        <v>0.0</v>
      </c>
      <c r="O67" s="17">
        <v>2433.0</v>
      </c>
      <c r="P67" s="20">
        <f t="shared" si="6"/>
        <v>0.05465941769</v>
      </c>
      <c r="Q67" s="17">
        <v>1976.0</v>
      </c>
      <c r="R67" s="17">
        <v>30.0</v>
      </c>
      <c r="S67" s="17">
        <v>178.0</v>
      </c>
      <c r="T67" s="17">
        <v>249.0</v>
      </c>
      <c r="U67" s="17">
        <v>44512.0</v>
      </c>
    </row>
    <row r="68">
      <c r="A68" s="8" t="str">
        <f t="shared" si="1"/>
        <v>Q2</v>
      </c>
      <c r="B68" s="8">
        <f t="shared" si="2"/>
        <v>45463</v>
      </c>
      <c r="C68" s="9" t="s">
        <v>261</v>
      </c>
      <c r="D68" s="9">
        <f t="shared" si="7"/>
        <v>45463</v>
      </c>
      <c r="E68" s="9" t="str">
        <f t="shared" si="8"/>
        <v>3:02pm BST</v>
      </c>
      <c r="F68" s="10" t="s">
        <v>29</v>
      </c>
      <c r="G68" s="11" t="s">
        <v>23</v>
      </c>
      <c r="H68" s="11" t="s">
        <v>23</v>
      </c>
      <c r="I68" s="12">
        <v>67.0</v>
      </c>
      <c r="J68" s="12" t="s">
        <v>258</v>
      </c>
      <c r="K68" s="10" t="s">
        <v>262</v>
      </c>
      <c r="L68" s="13" t="s">
        <v>263</v>
      </c>
      <c r="M68" s="10">
        <f t="shared" si="5"/>
        <v>21580</v>
      </c>
      <c r="N68" s="10">
        <v>21580.0</v>
      </c>
      <c r="O68" s="10">
        <v>966.0</v>
      </c>
      <c r="P68" s="14">
        <f t="shared" si="6"/>
        <v>0.04476367006</v>
      </c>
      <c r="Q68" s="10">
        <v>874.0</v>
      </c>
      <c r="R68" s="10">
        <v>11.0</v>
      </c>
      <c r="S68" s="10">
        <v>0.0</v>
      </c>
      <c r="T68" s="10">
        <v>81.0</v>
      </c>
      <c r="U68" s="10">
        <v>0.0</v>
      </c>
    </row>
    <row r="69">
      <c r="A69" s="8" t="str">
        <f t="shared" si="1"/>
        <v>Q2</v>
      </c>
      <c r="B69" s="8">
        <f t="shared" si="2"/>
        <v>45464</v>
      </c>
      <c r="C69" s="9" t="s">
        <v>264</v>
      </c>
      <c r="D69" s="9">
        <f t="shared" si="7"/>
        <v>45464</v>
      </c>
      <c r="E69" s="9" t="str">
        <f t="shared" si="8"/>
        <v>5:36pm BST</v>
      </c>
      <c r="F69" s="10" t="s">
        <v>22</v>
      </c>
      <c r="G69" s="11" t="s">
        <v>23</v>
      </c>
      <c r="H69" s="11" t="s">
        <v>23</v>
      </c>
      <c r="I69" s="12">
        <v>68.0</v>
      </c>
      <c r="J69" s="12" t="s">
        <v>265</v>
      </c>
      <c r="K69" s="10" t="s">
        <v>266</v>
      </c>
      <c r="L69" s="13" t="s">
        <v>267</v>
      </c>
      <c r="M69" s="10">
        <f t="shared" si="5"/>
        <v>21139</v>
      </c>
      <c r="N69" s="10">
        <v>0.0</v>
      </c>
      <c r="O69" s="10">
        <v>575.0</v>
      </c>
      <c r="P69" s="14">
        <f t="shared" si="6"/>
        <v>0.02720090827</v>
      </c>
      <c r="Q69" s="10">
        <v>490.0</v>
      </c>
      <c r="R69" s="10">
        <v>9.0</v>
      </c>
      <c r="S69" s="10">
        <v>46.0</v>
      </c>
      <c r="T69" s="10">
        <v>30.0</v>
      </c>
      <c r="U69" s="10">
        <v>21139.0</v>
      </c>
    </row>
    <row r="70">
      <c r="A70" s="8" t="str">
        <f t="shared" si="1"/>
        <v>Q2</v>
      </c>
      <c r="B70" s="8">
        <f t="shared" si="2"/>
        <v>45464</v>
      </c>
      <c r="C70" s="9" t="s">
        <v>268</v>
      </c>
      <c r="D70" s="9">
        <f t="shared" si="7"/>
        <v>45464</v>
      </c>
      <c r="E70" s="9" t="str">
        <f t="shared" si="8"/>
        <v>4:45pm BST</v>
      </c>
      <c r="F70" s="10" t="s">
        <v>72</v>
      </c>
      <c r="G70" s="11" t="s">
        <v>23</v>
      </c>
      <c r="H70" s="11" t="s">
        <v>23</v>
      </c>
      <c r="I70" s="12">
        <v>69.0</v>
      </c>
      <c r="J70" s="12" t="s">
        <v>106</v>
      </c>
      <c r="K70" s="10" t="s">
        <v>269</v>
      </c>
      <c r="L70" s="21" t="s">
        <v>270</v>
      </c>
      <c r="M70" s="10">
        <f t="shared" si="5"/>
        <v>12827</v>
      </c>
      <c r="N70" s="10">
        <v>12827.0</v>
      </c>
      <c r="O70" s="10">
        <v>268.0</v>
      </c>
      <c r="P70" s="14">
        <f t="shared" si="6"/>
        <v>0.02089342793</v>
      </c>
      <c r="Q70" s="10">
        <v>240.0</v>
      </c>
      <c r="R70" s="10">
        <v>6.0</v>
      </c>
      <c r="S70" s="10">
        <v>0.0</v>
      </c>
      <c r="T70" s="10">
        <v>22.0</v>
      </c>
      <c r="U70" s="10">
        <v>0.0</v>
      </c>
    </row>
    <row r="71">
      <c r="A71" s="8" t="str">
        <f t="shared" si="1"/>
        <v>Q2</v>
      </c>
      <c r="B71" s="8">
        <f t="shared" si="2"/>
        <v>45468</v>
      </c>
      <c r="C71" s="9" t="s">
        <v>271</v>
      </c>
      <c r="D71" s="9">
        <f t="shared" si="7"/>
        <v>45468</v>
      </c>
      <c r="E71" s="9" t="str">
        <f t="shared" si="8"/>
        <v>4:40pm BST</v>
      </c>
      <c r="F71" s="10" t="s">
        <v>29</v>
      </c>
      <c r="G71" s="11" t="s">
        <v>23</v>
      </c>
      <c r="H71" s="11" t="s">
        <v>24</v>
      </c>
      <c r="I71" s="12">
        <v>70.0</v>
      </c>
      <c r="J71" s="12" t="s">
        <v>272</v>
      </c>
      <c r="K71" s="10" t="s">
        <v>273</v>
      </c>
      <c r="L71" s="13" t="s">
        <v>274</v>
      </c>
      <c r="M71" s="10">
        <f t="shared" si="5"/>
        <v>13687</v>
      </c>
      <c r="N71" s="10">
        <v>13687.0</v>
      </c>
      <c r="O71" s="10">
        <v>597.0</v>
      </c>
      <c r="P71" s="14">
        <f t="shared" si="6"/>
        <v>0.04361803171</v>
      </c>
      <c r="Q71" s="10">
        <v>504.0</v>
      </c>
      <c r="R71" s="10">
        <v>7.0</v>
      </c>
      <c r="S71" s="10">
        <v>0.0</v>
      </c>
      <c r="T71" s="10">
        <v>86.0</v>
      </c>
      <c r="U71" s="10">
        <v>0.0</v>
      </c>
    </row>
    <row r="72">
      <c r="A72" s="22"/>
      <c r="B72" s="22"/>
      <c r="C72" s="23"/>
      <c r="D72" s="23"/>
      <c r="E72" s="23"/>
      <c r="G72" s="24"/>
      <c r="H72" s="24"/>
      <c r="I72" s="25"/>
      <c r="J72" s="25"/>
      <c r="P72" s="26"/>
    </row>
    <row r="73">
      <c r="A73" s="22"/>
      <c r="B73" s="22"/>
      <c r="C73" s="23"/>
      <c r="D73" s="23"/>
      <c r="E73" s="23"/>
      <c r="G73" s="24"/>
      <c r="H73" s="24"/>
      <c r="I73" s="25"/>
      <c r="J73" s="25"/>
      <c r="P73" s="26"/>
    </row>
    <row r="74">
      <c r="A74" s="22"/>
      <c r="B74" s="22"/>
      <c r="C74" s="23"/>
      <c r="D74" s="23"/>
      <c r="E74" s="23"/>
      <c r="G74" s="24"/>
      <c r="H74" s="24"/>
      <c r="I74" s="25"/>
      <c r="J74" s="25"/>
      <c r="P74" s="26"/>
    </row>
    <row r="75">
      <c r="A75" s="22"/>
      <c r="B75" s="22"/>
      <c r="C75" s="23"/>
      <c r="D75" s="23"/>
      <c r="F75" s="27"/>
      <c r="G75" s="24"/>
      <c r="H75" s="24"/>
      <c r="I75" s="25"/>
      <c r="J75" s="25"/>
      <c r="P75" s="26"/>
    </row>
    <row r="76">
      <c r="A76" s="22"/>
      <c r="B76" s="22"/>
      <c r="C76" s="23"/>
      <c r="D76" s="23"/>
      <c r="F76" s="27"/>
      <c r="G76" s="24"/>
      <c r="H76" s="24"/>
      <c r="I76" s="12"/>
      <c r="J76" s="25"/>
      <c r="P76" s="26"/>
    </row>
    <row r="77">
      <c r="A77" s="22"/>
      <c r="B77" s="22"/>
      <c r="C77" s="23"/>
      <c r="D77" s="23"/>
      <c r="E77" s="23"/>
      <c r="G77" s="24"/>
      <c r="H77" s="24"/>
      <c r="I77" s="25"/>
      <c r="J77" s="25"/>
      <c r="P77" s="26"/>
    </row>
    <row r="78">
      <c r="A78" s="22"/>
      <c r="B78" s="22"/>
      <c r="C78" s="23"/>
      <c r="D78" s="23"/>
      <c r="E78" s="23"/>
      <c r="G78" s="24"/>
      <c r="H78" s="24"/>
      <c r="I78" s="25"/>
      <c r="J78" s="25"/>
      <c r="P78" s="26"/>
    </row>
    <row r="79">
      <c r="A79" s="22"/>
      <c r="B79" s="22"/>
      <c r="C79" s="23"/>
      <c r="D79" s="23"/>
      <c r="E79" s="23"/>
      <c r="G79" s="24"/>
      <c r="H79" s="24"/>
      <c r="I79" s="25"/>
      <c r="J79" s="25"/>
      <c r="P79" s="26"/>
    </row>
    <row r="80">
      <c r="A80" s="22"/>
      <c r="B80" s="22"/>
      <c r="C80" s="23"/>
      <c r="D80" s="23"/>
      <c r="E80" s="23"/>
      <c r="G80" s="24"/>
      <c r="H80" s="24"/>
      <c r="I80" s="25"/>
      <c r="J80" s="25"/>
      <c r="P80" s="26"/>
    </row>
    <row r="81">
      <c r="A81" s="22"/>
      <c r="B81" s="22"/>
      <c r="C81" s="23"/>
      <c r="D81" s="23"/>
      <c r="E81" s="23"/>
      <c r="G81" s="24"/>
      <c r="H81" s="24"/>
      <c r="I81" s="25"/>
      <c r="J81" s="25"/>
      <c r="P81" s="26"/>
    </row>
    <row r="82">
      <c r="A82" s="22"/>
      <c r="B82" s="22"/>
      <c r="C82" s="23"/>
      <c r="D82" s="23"/>
      <c r="E82" s="23"/>
      <c r="G82" s="24"/>
      <c r="H82" s="24"/>
      <c r="I82" s="25"/>
      <c r="J82" s="25"/>
      <c r="P82" s="26"/>
    </row>
    <row r="83">
      <c r="A83" s="22"/>
      <c r="B83" s="22"/>
      <c r="C83" s="23"/>
      <c r="D83" s="23"/>
      <c r="E83" s="23"/>
      <c r="G83" s="24"/>
      <c r="H83" s="24"/>
      <c r="I83" s="25"/>
      <c r="J83" s="25"/>
      <c r="P83" s="26"/>
    </row>
    <row r="84">
      <c r="A84" s="22"/>
      <c r="B84" s="22"/>
      <c r="C84" s="23"/>
      <c r="D84" s="23"/>
      <c r="E84" s="23"/>
      <c r="G84" s="24"/>
      <c r="H84" s="24"/>
      <c r="I84" s="25"/>
      <c r="J84" s="25"/>
      <c r="P84" s="26"/>
    </row>
    <row r="85">
      <c r="A85" s="22"/>
      <c r="B85" s="22"/>
      <c r="C85" s="23"/>
      <c r="D85" s="23"/>
      <c r="E85" s="23"/>
      <c r="G85" s="24"/>
      <c r="H85" s="24"/>
      <c r="I85" s="25"/>
      <c r="J85" s="25"/>
      <c r="P85" s="26"/>
    </row>
    <row r="86">
      <c r="A86" s="22"/>
      <c r="B86" s="22"/>
      <c r="C86" s="23"/>
      <c r="D86" s="23"/>
      <c r="E86" s="23"/>
      <c r="G86" s="24"/>
      <c r="H86" s="24"/>
      <c r="I86" s="25"/>
      <c r="J86" s="25"/>
      <c r="P86" s="26"/>
    </row>
    <row r="87">
      <c r="A87" s="22"/>
      <c r="B87" s="22"/>
      <c r="C87" s="23"/>
      <c r="D87" s="23"/>
      <c r="E87" s="23"/>
      <c r="G87" s="24"/>
      <c r="H87" s="24"/>
      <c r="I87" s="25"/>
      <c r="J87" s="25"/>
      <c r="P87" s="26"/>
    </row>
    <row r="88">
      <c r="A88" s="22"/>
      <c r="B88" s="22"/>
      <c r="C88" s="23"/>
      <c r="D88" s="23"/>
      <c r="E88" s="23"/>
      <c r="G88" s="24"/>
      <c r="H88" s="24"/>
      <c r="I88" s="25"/>
      <c r="J88" s="25"/>
      <c r="P88" s="26"/>
    </row>
    <row r="89">
      <c r="A89" s="22"/>
      <c r="B89" s="22"/>
      <c r="C89" s="23"/>
      <c r="D89" s="23"/>
      <c r="E89" s="23"/>
      <c r="G89" s="24"/>
      <c r="H89" s="24"/>
      <c r="I89" s="25"/>
      <c r="J89" s="25"/>
      <c r="P89" s="26"/>
    </row>
    <row r="90">
      <c r="A90" s="22"/>
      <c r="B90" s="22"/>
      <c r="C90" s="23"/>
      <c r="D90" s="23"/>
      <c r="E90" s="23"/>
      <c r="G90" s="24"/>
      <c r="H90" s="24"/>
      <c r="I90" s="25"/>
      <c r="J90" s="25"/>
      <c r="P90" s="26"/>
    </row>
    <row r="91">
      <c r="A91" s="22"/>
      <c r="B91" s="22"/>
      <c r="C91" s="23"/>
      <c r="D91" s="23"/>
      <c r="E91" s="23"/>
      <c r="G91" s="24"/>
      <c r="H91" s="24"/>
      <c r="I91" s="25"/>
      <c r="J91" s="25"/>
      <c r="P91" s="26"/>
    </row>
    <row r="92">
      <c r="A92" s="22"/>
      <c r="B92" s="22"/>
      <c r="C92" s="23"/>
      <c r="D92" s="23"/>
      <c r="E92" s="23"/>
      <c r="G92" s="24"/>
      <c r="H92" s="24"/>
      <c r="I92" s="25"/>
      <c r="J92" s="25"/>
      <c r="P92" s="26"/>
    </row>
    <row r="93">
      <c r="A93" s="22"/>
      <c r="B93" s="22"/>
      <c r="C93" s="23"/>
      <c r="D93" s="23"/>
      <c r="E93" s="23"/>
      <c r="G93" s="24"/>
      <c r="H93" s="24"/>
      <c r="I93" s="25"/>
      <c r="J93" s="25"/>
      <c r="P93" s="26"/>
    </row>
    <row r="94">
      <c r="A94" s="22"/>
      <c r="B94" s="22"/>
      <c r="C94" s="23"/>
      <c r="D94" s="23"/>
      <c r="E94" s="23"/>
      <c r="G94" s="24"/>
      <c r="H94" s="24"/>
      <c r="I94" s="25"/>
      <c r="J94" s="25"/>
      <c r="P94" s="26"/>
    </row>
    <row r="95">
      <c r="A95" s="22"/>
      <c r="B95" s="22"/>
      <c r="C95" s="23"/>
      <c r="D95" s="23"/>
      <c r="E95" s="23"/>
      <c r="G95" s="24"/>
      <c r="H95" s="24"/>
      <c r="I95" s="25"/>
      <c r="J95" s="25"/>
      <c r="P95" s="26"/>
    </row>
    <row r="96">
      <c r="A96" s="22"/>
      <c r="B96" s="22"/>
      <c r="C96" s="23"/>
      <c r="D96" s="23"/>
      <c r="E96" s="23"/>
      <c r="G96" s="24"/>
      <c r="H96" s="24"/>
      <c r="I96" s="25"/>
      <c r="J96" s="25"/>
      <c r="P96" s="26"/>
    </row>
    <row r="97">
      <c r="A97" s="22"/>
      <c r="B97" s="22"/>
      <c r="C97" s="23"/>
      <c r="D97" s="23"/>
      <c r="E97" s="23"/>
      <c r="G97" s="24"/>
      <c r="H97" s="24"/>
      <c r="I97" s="25"/>
      <c r="J97" s="25"/>
      <c r="P97" s="26"/>
    </row>
    <row r="98">
      <c r="A98" s="22"/>
      <c r="B98" s="22"/>
      <c r="C98" s="23"/>
      <c r="D98" s="23"/>
      <c r="E98" s="23"/>
      <c r="G98" s="24"/>
      <c r="H98" s="24"/>
      <c r="I98" s="25"/>
      <c r="J98" s="25"/>
      <c r="P98" s="26"/>
    </row>
    <row r="99">
      <c r="A99" s="22"/>
      <c r="B99" s="22"/>
      <c r="C99" s="23"/>
      <c r="D99" s="23"/>
      <c r="E99" s="23"/>
      <c r="G99" s="24"/>
      <c r="H99" s="24"/>
      <c r="I99" s="25"/>
      <c r="J99" s="25"/>
      <c r="P99" s="26"/>
    </row>
    <row r="100">
      <c r="A100" s="22"/>
      <c r="B100" s="22"/>
      <c r="C100" s="23"/>
      <c r="D100" s="23"/>
      <c r="E100" s="23"/>
      <c r="G100" s="24"/>
      <c r="H100" s="24"/>
      <c r="I100" s="25"/>
      <c r="J100" s="25"/>
      <c r="P100" s="26"/>
    </row>
    <row r="101">
      <c r="A101" s="22"/>
      <c r="B101" s="22"/>
      <c r="C101" s="23"/>
      <c r="D101" s="23"/>
      <c r="E101" s="23"/>
      <c r="G101" s="24"/>
      <c r="H101" s="24"/>
      <c r="I101" s="25"/>
      <c r="J101" s="25"/>
      <c r="P101" s="26"/>
    </row>
    <row r="102">
      <c r="A102" s="22"/>
      <c r="B102" s="22"/>
      <c r="C102" s="23"/>
      <c r="D102" s="23"/>
      <c r="E102" s="23"/>
      <c r="G102" s="24"/>
      <c r="H102" s="24"/>
      <c r="I102" s="25"/>
      <c r="J102" s="25"/>
      <c r="P102" s="26"/>
    </row>
    <row r="103">
      <c r="A103" s="22"/>
      <c r="B103" s="22"/>
      <c r="C103" s="23"/>
      <c r="D103" s="23"/>
      <c r="E103" s="23"/>
      <c r="G103" s="24"/>
      <c r="H103" s="24"/>
      <c r="I103" s="25"/>
      <c r="J103" s="25"/>
      <c r="P103" s="26"/>
    </row>
    <row r="104">
      <c r="A104" s="22"/>
      <c r="B104" s="22"/>
      <c r="C104" s="23"/>
      <c r="D104" s="23"/>
      <c r="E104" s="23"/>
      <c r="G104" s="24"/>
      <c r="H104" s="24"/>
      <c r="I104" s="25"/>
      <c r="J104" s="25"/>
      <c r="P104" s="26"/>
    </row>
    <row r="105">
      <c r="A105" s="22"/>
      <c r="B105" s="22"/>
      <c r="C105" s="23"/>
      <c r="D105" s="23"/>
      <c r="E105" s="23"/>
      <c r="G105" s="24"/>
      <c r="H105" s="24"/>
      <c r="I105" s="25"/>
      <c r="J105" s="25"/>
      <c r="P105" s="26"/>
    </row>
    <row r="106">
      <c r="A106" s="22"/>
      <c r="B106" s="22"/>
      <c r="C106" s="23"/>
      <c r="D106" s="23"/>
      <c r="E106" s="23"/>
      <c r="G106" s="24"/>
      <c r="H106" s="24"/>
      <c r="I106" s="25"/>
      <c r="J106" s="25"/>
      <c r="P106" s="26"/>
    </row>
    <row r="107">
      <c r="A107" s="22"/>
      <c r="B107" s="22"/>
      <c r="C107" s="23"/>
      <c r="D107" s="23"/>
      <c r="E107" s="23"/>
      <c r="G107" s="24"/>
      <c r="H107" s="24"/>
      <c r="I107" s="25"/>
      <c r="J107" s="25"/>
      <c r="P107" s="26"/>
    </row>
    <row r="108">
      <c r="A108" s="22"/>
      <c r="B108" s="22"/>
      <c r="C108" s="23"/>
      <c r="D108" s="23"/>
      <c r="E108" s="23"/>
      <c r="G108" s="24"/>
      <c r="H108" s="24"/>
      <c r="I108" s="25"/>
      <c r="J108" s="25"/>
      <c r="P108" s="26"/>
    </row>
    <row r="109">
      <c r="A109" s="22"/>
      <c r="B109" s="22"/>
      <c r="C109" s="23"/>
      <c r="D109" s="23"/>
      <c r="E109" s="23"/>
      <c r="G109" s="24"/>
      <c r="H109" s="24"/>
      <c r="I109" s="25"/>
      <c r="J109" s="25"/>
      <c r="P109" s="26"/>
    </row>
    <row r="110">
      <c r="A110" s="22"/>
      <c r="B110" s="22"/>
      <c r="C110" s="23"/>
      <c r="D110" s="23"/>
      <c r="E110" s="23"/>
      <c r="G110" s="24"/>
      <c r="H110" s="24"/>
      <c r="I110" s="25"/>
      <c r="J110" s="25"/>
      <c r="P110" s="26"/>
    </row>
    <row r="111">
      <c r="A111" s="22"/>
      <c r="B111" s="22"/>
      <c r="C111" s="23"/>
      <c r="D111" s="23"/>
      <c r="E111" s="23"/>
      <c r="G111" s="24"/>
      <c r="H111" s="24"/>
      <c r="I111" s="25"/>
      <c r="J111" s="25"/>
      <c r="P111" s="26"/>
    </row>
    <row r="112">
      <c r="A112" s="22"/>
      <c r="B112" s="22"/>
      <c r="C112" s="23"/>
      <c r="D112" s="23"/>
      <c r="E112" s="23"/>
      <c r="G112" s="24"/>
      <c r="H112" s="24"/>
      <c r="I112" s="25"/>
      <c r="J112" s="25"/>
      <c r="P112" s="26"/>
    </row>
    <row r="113">
      <c r="A113" s="22"/>
      <c r="B113" s="22"/>
      <c r="C113" s="23"/>
      <c r="D113" s="23"/>
      <c r="E113" s="23"/>
      <c r="G113" s="24"/>
      <c r="H113" s="24"/>
      <c r="I113" s="25"/>
      <c r="J113" s="25"/>
      <c r="P113" s="26"/>
    </row>
    <row r="114">
      <c r="A114" s="22"/>
      <c r="B114" s="22"/>
      <c r="C114" s="23"/>
      <c r="D114" s="23"/>
      <c r="E114" s="23"/>
      <c r="G114" s="24"/>
      <c r="H114" s="24"/>
      <c r="I114" s="25"/>
      <c r="J114" s="25"/>
      <c r="P114" s="26"/>
    </row>
    <row r="115">
      <c r="A115" s="22"/>
      <c r="B115" s="22"/>
      <c r="C115" s="23"/>
      <c r="D115" s="23"/>
      <c r="E115" s="23"/>
      <c r="G115" s="24"/>
      <c r="H115" s="24"/>
      <c r="I115" s="25"/>
      <c r="J115" s="25"/>
      <c r="P115" s="26"/>
    </row>
    <row r="116">
      <c r="A116" s="22"/>
      <c r="B116" s="22"/>
      <c r="C116" s="23"/>
      <c r="D116" s="23"/>
      <c r="E116" s="23"/>
      <c r="G116" s="24"/>
      <c r="H116" s="24"/>
      <c r="I116" s="25"/>
      <c r="J116" s="25"/>
      <c r="P116" s="26"/>
    </row>
    <row r="117">
      <c r="A117" s="22"/>
      <c r="B117" s="22"/>
      <c r="C117" s="23"/>
      <c r="D117" s="23"/>
      <c r="E117" s="23"/>
      <c r="G117" s="24"/>
      <c r="H117" s="24"/>
      <c r="I117" s="25"/>
      <c r="J117" s="25"/>
      <c r="P117" s="26"/>
    </row>
    <row r="118">
      <c r="A118" s="22"/>
      <c r="B118" s="22"/>
      <c r="C118" s="23"/>
      <c r="D118" s="23"/>
      <c r="E118" s="23"/>
      <c r="G118" s="24"/>
      <c r="H118" s="24"/>
      <c r="I118" s="25"/>
      <c r="J118" s="25"/>
      <c r="P118" s="26"/>
    </row>
    <row r="119">
      <c r="A119" s="22"/>
      <c r="B119" s="22"/>
      <c r="C119" s="23"/>
      <c r="D119" s="23"/>
      <c r="E119" s="23"/>
      <c r="G119" s="24"/>
      <c r="H119" s="24"/>
      <c r="I119" s="25"/>
      <c r="J119" s="25"/>
      <c r="P119" s="26"/>
    </row>
    <row r="120">
      <c r="A120" s="22"/>
      <c r="B120" s="22"/>
      <c r="C120" s="23"/>
      <c r="D120" s="23"/>
      <c r="E120" s="23"/>
      <c r="G120" s="24"/>
      <c r="H120" s="24"/>
      <c r="I120" s="25"/>
      <c r="J120" s="25"/>
      <c r="P120" s="26"/>
    </row>
    <row r="121">
      <c r="A121" s="22"/>
      <c r="B121" s="22"/>
      <c r="C121" s="23"/>
      <c r="D121" s="23"/>
      <c r="E121" s="23"/>
      <c r="G121" s="24"/>
      <c r="H121" s="24"/>
      <c r="I121" s="25"/>
      <c r="J121" s="25"/>
      <c r="P121" s="26"/>
    </row>
    <row r="122">
      <c r="A122" s="22"/>
      <c r="B122" s="22"/>
      <c r="C122" s="23"/>
      <c r="D122" s="23"/>
      <c r="E122" s="23"/>
      <c r="G122" s="24"/>
      <c r="H122" s="24"/>
      <c r="I122" s="25"/>
      <c r="J122" s="25"/>
      <c r="P122" s="26"/>
    </row>
    <row r="123">
      <c r="A123" s="22"/>
      <c r="B123" s="22"/>
      <c r="C123" s="23"/>
      <c r="D123" s="23"/>
      <c r="E123" s="23"/>
      <c r="G123" s="24"/>
      <c r="H123" s="24"/>
      <c r="I123" s="25"/>
      <c r="J123" s="25"/>
      <c r="P123" s="26"/>
    </row>
    <row r="124">
      <c r="A124" s="22"/>
      <c r="B124" s="22"/>
      <c r="C124" s="23"/>
      <c r="D124" s="23"/>
      <c r="E124" s="23"/>
      <c r="G124" s="24"/>
      <c r="H124" s="24"/>
      <c r="I124" s="25"/>
      <c r="J124" s="25"/>
      <c r="P124" s="26"/>
    </row>
    <row r="125">
      <c r="A125" s="22"/>
      <c r="B125" s="22"/>
      <c r="C125" s="23"/>
      <c r="D125" s="23"/>
      <c r="E125" s="23"/>
      <c r="G125" s="24"/>
      <c r="H125" s="24"/>
      <c r="I125" s="25"/>
      <c r="J125" s="25"/>
      <c r="P125" s="26"/>
    </row>
    <row r="126">
      <c r="A126" s="22"/>
      <c r="B126" s="22"/>
      <c r="C126" s="23"/>
      <c r="D126" s="23"/>
      <c r="E126" s="23"/>
      <c r="G126" s="24"/>
      <c r="H126" s="24"/>
      <c r="I126" s="25"/>
      <c r="J126" s="25"/>
      <c r="P126" s="26"/>
    </row>
    <row r="127">
      <c r="A127" s="22"/>
      <c r="B127" s="22"/>
      <c r="C127" s="23"/>
      <c r="D127" s="23"/>
      <c r="E127" s="23"/>
      <c r="G127" s="24"/>
      <c r="H127" s="24"/>
      <c r="I127" s="25"/>
      <c r="J127" s="25"/>
      <c r="P127" s="26"/>
    </row>
    <row r="128">
      <c r="A128" s="22"/>
      <c r="B128" s="22"/>
      <c r="C128" s="23"/>
      <c r="D128" s="23"/>
      <c r="E128" s="23"/>
      <c r="G128" s="24"/>
      <c r="H128" s="24"/>
      <c r="I128" s="25"/>
      <c r="J128" s="25"/>
      <c r="P128" s="26"/>
    </row>
    <row r="129">
      <c r="A129" s="22"/>
      <c r="B129" s="22"/>
      <c r="C129" s="23"/>
      <c r="D129" s="23"/>
      <c r="E129" s="23"/>
      <c r="G129" s="24"/>
      <c r="H129" s="24"/>
      <c r="I129" s="25"/>
      <c r="J129" s="25"/>
      <c r="P129" s="26"/>
    </row>
    <row r="130">
      <c r="A130" s="22"/>
      <c r="B130" s="22"/>
      <c r="C130" s="23"/>
      <c r="D130" s="23"/>
      <c r="E130" s="23"/>
      <c r="G130" s="24"/>
      <c r="H130" s="24"/>
      <c r="I130" s="25"/>
      <c r="J130" s="25"/>
      <c r="P130" s="26"/>
    </row>
    <row r="131">
      <c r="A131" s="22"/>
      <c r="B131" s="22"/>
      <c r="C131" s="23"/>
      <c r="D131" s="23"/>
      <c r="E131" s="23"/>
      <c r="G131" s="24"/>
      <c r="H131" s="24"/>
      <c r="I131" s="25"/>
      <c r="J131" s="25"/>
      <c r="P131" s="26"/>
    </row>
    <row r="132">
      <c r="A132" s="22"/>
      <c r="B132" s="22"/>
      <c r="C132" s="23"/>
      <c r="D132" s="23"/>
      <c r="E132" s="23"/>
      <c r="G132" s="24"/>
      <c r="H132" s="24"/>
      <c r="I132" s="25"/>
      <c r="J132" s="25"/>
      <c r="P132" s="26"/>
    </row>
    <row r="133">
      <c r="A133" s="22"/>
      <c r="B133" s="22"/>
      <c r="C133" s="23"/>
      <c r="D133" s="23"/>
      <c r="E133" s="23"/>
      <c r="G133" s="24"/>
      <c r="H133" s="24"/>
      <c r="I133" s="25"/>
      <c r="J133" s="25"/>
      <c r="P133" s="26"/>
    </row>
    <row r="134">
      <c r="A134" s="22"/>
      <c r="B134" s="22"/>
      <c r="C134" s="23"/>
      <c r="D134" s="23"/>
      <c r="E134" s="23"/>
      <c r="G134" s="24"/>
      <c r="H134" s="24"/>
      <c r="I134" s="25"/>
      <c r="J134" s="25"/>
      <c r="P134" s="26"/>
    </row>
    <row r="135">
      <c r="A135" s="22"/>
      <c r="B135" s="22"/>
      <c r="C135" s="23"/>
      <c r="D135" s="23"/>
      <c r="E135" s="23"/>
      <c r="G135" s="24"/>
      <c r="H135" s="24"/>
      <c r="I135" s="25"/>
      <c r="J135" s="25"/>
      <c r="P135" s="26"/>
    </row>
    <row r="136">
      <c r="A136" s="22"/>
      <c r="B136" s="22"/>
      <c r="C136" s="23"/>
      <c r="D136" s="23"/>
      <c r="E136" s="23"/>
      <c r="G136" s="24"/>
      <c r="H136" s="24"/>
      <c r="I136" s="25"/>
      <c r="J136" s="25"/>
      <c r="P136" s="26"/>
    </row>
    <row r="137">
      <c r="A137" s="22"/>
      <c r="B137" s="22"/>
      <c r="C137" s="23"/>
      <c r="D137" s="23"/>
      <c r="E137" s="23"/>
      <c r="G137" s="24"/>
      <c r="H137" s="24"/>
      <c r="I137" s="25"/>
      <c r="J137" s="25"/>
      <c r="P137" s="26"/>
    </row>
    <row r="138">
      <c r="A138" s="22"/>
      <c r="B138" s="22"/>
      <c r="C138" s="23"/>
      <c r="D138" s="23"/>
      <c r="E138" s="23"/>
      <c r="G138" s="24"/>
      <c r="H138" s="24"/>
      <c r="I138" s="25"/>
      <c r="J138" s="25"/>
      <c r="P138" s="26"/>
    </row>
    <row r="139">
      <c r="A139" s="22"/>
      <c r="B139" s="22"/>
      <c r="C139" s="23"/>
      <c r="D139" s="23"/>
      <c r="E139" s="23"/>
      <c r="G139" s="24"/>
      <c r="H139" s="24"/>
      <c r="I139" s="25"/>
      <c r="J139" s="25"/>
      <c r="P139" s="26"/>
    </row>
    <row r="140">
      <c r="A140" s="22"/>
      <c r="B140" s="22"/>
      <c r="C140" s="23"/>
      <c r="D140" s="23"/>
      <c r="E140" s="23"/>
      <c r="G140" s="24"/>
      <c r="H140" s="24"/>
      <c r="I140" s="25"/>
      <c r="J140" s="25"/>
      <c r="P140" s="26"/>
    </row>
    <row r="141">
      <c r="A141" s="22"/>
      <c r="B141" s="22"/>
      <c r="C141" s="23"/>
      <c r="D141" s="23"/>
      <c r="E141" s="23"/>
      <c r="G141" s="24"/>
      <c r="H141" s="24"/>
      <c r="I141" s="25"/>
      <c r="J141" s="25"/>
      <c r="P141" s="26"/>
    </row>
    <row r="142">
      <c r="A142" s="22"/>
      <c r="B142" s="22"/>
      <c r="C142" s="23"/>
      <c r="D142" s="23"/>
      <c r="E142" s="23"/>
      <c r="G142" s="24"/>
      <c r="H142" s="24"/>
      <c r="I142" s="25"/>
      <c r="J142" s="25"/>
      <c r="P142" s="26"/>
    </row>
    <row r="143">
      <c r="A143" s="22"/>
      <c r="B143" s="22"/>
      <c r="C143" s="23"/>
      <c r="D143" s="23"/>
      <c r="E143" s="23"/>
      <c r="G143" s="24"/>
      <c r="H143" s="24"/>
      <c r="I143" s="25"/>
      <c r="J143" s="25"/>
      <c r="P143" s="26"/>
    </row>
    <row r="144">
      <c r="A144" s="22"/>
      <c r="B144" s="22"/>
      <c r="C144" s="23"/>
      <c r="D144" s="23"/>
      <c r="E144" s="23"/>
      <c r="G144" s="24"/>
      <c r="H144" s="24"/>
      <c r="I144" s="25"/>
      <c r="J144" s="25"/>
      <c r="P144" s="26"/>
    </row>
    <row r="145">
      <c r="A145" s="22"/>
      <c r="B145" s="22"/>
      <c r="C145" s="23"/>
      <c r="D145" s="23"/>
      <c r="E145" s="23"/>
      <c r="G145" s="24"/>
      <c r="H145" s="24"/>
      <c r="I145" s="25"/>
      <c r="J145" s="25"/>
      <c r="P145" s="26"/>
    </row>
    <row r="146">
      <c r="A146" s="22"/>
      <c r="B146" s="22"/>
      <c r="C146" s="23"/>
      <c r="D146" s="23"/>
      <c r="E146" s="23"/>
      <c r="G146" s="24"/>
      <c r="H146" s="24"/>
      <c r="I146" s="25"/>
      <c r="J146" s="25"/>
      <c r="P146" s="26"/>
    </row>
    <row r="147">
      <c r="A147" s="22"/>
      <c r="B147" s="22"/>
      <c r="C147" s="23"/>
      <c r="D147" s="23"/>
      <c r="E147" s="23"/>
      <c r="G147" s="24"/>
      <c r="H147" s="24"/>
      <c r="I147" s="25"/>
      <c r="J147" s="25"/>
      <c r="P147" s="26"/>
    </row>
    <row r="148">
      <c r="A148" s="22"/>
      <c r="B148" s="22"/>
      <c r="C148" s="23"/>
      <c r="D148" s="23"/>
      <c r="E148" s="23"/>
      <c r="G148" s="24"/>
      <c r="H148" s="24"/>
      <c r="I148" s="25"/>
      <c r="J148" s="25"/>
      <c r="P148" s="26"/>
    </row>
    <row r="149">
      <c r="A149" s="22"/>
      <c r="B149" s="22"/>
      <c r="C149" s="23"/>
      <c r="D149" s="23"/>
      <c r="E149" s="23"/>
      <c r="G149" s="24"/>
      <c r="H149" s="24"/>
      <c r="I149" s="25"/>
      <c r="J149" s="25"/>
      <c r="P149" s="26"/>
    </row>
    <row r="150">
      <c r="A150" s="22"/>
      <c r="B150" s="22"/>
      <c r="C150" s="23"/>
      <c r="D150" s="23"/>
      <c r="E150" s="23"/>
      <c r="G150" s="24"/>
      <c r="H150" s="24"/>
      <c r="I150" s="25"/>
      <c r="J150" s="25"/>
      <c r="P150" s="26"/>
    </row>
    <row r="151">
      <c r="A151" s="22"/>
      <c r="B151" s="22"/>
      <c r="C151" s="23"/>
      <c r="D151" s="23"/>
      <c r="E151" s="23"/>
      <c r="G151" s="24"/>
      <c r="H151" s="24"/>
      <c r="I151" s="25"/>
      <c r="J151" s="25"/>
      <c r="P151" s="26"/>
    </row>
    <row r="152">
      <c r="A152" s="22"/>
      <c r="B152" s="22"/>
      <c r="C152" s="23"/>
      <c r="D152" s="23"/>
      <c r="E152" s="23"/>
      <c r="G152" s="24"/>
      <c r="H152" s="24"/>
      <c r="I152" s="25"/>
      <c r="J152" s="25"/>
      <c r="P152" s="26"/>
    </row>
    <row r="153">
      <c r="A153" s="22"/>
      <c r="B153" s="22"/>
      <c r="C153" s="23"/>
      <c r="D153" s="23"/>
      <c r="E153" s="23"/>
      <c r="G153" s="24"/>
      <c r="H153" s="24"/>
      <c r="I153" s="25"/>
      <c r="J153" s="25"/>
      <c r="P153" s="26"/>
    </row>
    <row r="154">
      <c r="A154" s="22"/>
      <c r="B154" s="22"/>
      <c r="C154" s="23"/>
      <c r="D154" s="23"/>
      <c r="E154" s="23"/>
      <c r="G154" s="24"/>
      <c r="H154" s="24"/>
      <c r="I154" s="25"/>
      <c r="J154" s="25"/>
      <c r="P154" s="26"/>
    </row>
    <row r="155">
      <c r="A155" s="22"/>
      <c r="B155" s="22"/>
      <c r="C155" s="23"/>
      <c r="D155" s="23"/>
      <c r="E155" s="23"/>
      <c r="G155" s="24"/>
      <c r="H155" s="24"/>
      <c r="I155" s="25"/>
      <c r="J155" s="25"/>
      <c r="P155" s="26"/>
    </row>
    <row r="156">
      <c r="A156" s="22"/>
      <c r="B156" s="22"/>
      <c r="C156" s="23"/>
      <c r="D156" s="23"/>
      <c r="E156" s="23"/>
      <c r="G156" s="24"/>
      <c r="H156" s="24"/>
      <c r="I156" s="25"/>
      <c r="J156" s="25"/>
      <c r="P156" s="26"/>
    </row>
    <row r="157">
      <c r="A157" s="22"/>
      <c r="B157" s="22"/>
      <c r="C157" s="23"/>
      <c r="D157" s="23"/>
      <c r="E157" s="23"/>
      <c r="G157" s="24"/>
      <c r="H157" s="24"/>
      <c r="I157" s="25"/>
      <c r="J157" s="25"/>
      <c r="P157" s="26"/>
    </row>
    <row r="158">
      <c r="A158" s="22"/>
      <c r="B158" s="22"/>
      <c r="C158" s="23"/>
      <c r="D158" s="23"/>
      <c r="E158" s="23"/>
      <c r="G158" s="24"/>
      <c r="H158" s="24"/>
      <c r="I158" s="25"/>
      <c r="J158" s="25"/>
      <c r="P158" s="26"/>
    </row>
    <row r="159">
      <c r="A159" s="22"/>
      <c r="B159" s="22"/>
      <c r="C159" s="23"/>
      <c r="D159" s="23"/>
      <c r="E159" s="23"/>
      <c r="G159" s="24"/>
      <c r="H159" s="24"/>
      <c r="I159" s="25"/>
      <c r="J159" s="25"/>
      <c r="P159" s="26"/>
    </row>
    <row r="160">
      <c r="A160" s="22"/>
      <c r="B160" s="22"/>
      <c r="C160" s="23"/>
      <c r="D160" s="23"/>
      <c r="E160" s="23"/>
      <c r="G160" s="24"/>
      <c r="H160" s="24"/>
      <c r="I160" s="25"/>
      <c r="J160" s="25"/>
      <c r="P160" s="26"/>
    </row>
    <row r="161">
      <c r="A161" s="22"/>
      <c r="B161" s="22"/>
      <c r="C161" s="23"/>
      <c r="D161" s="23"/>
      <c r="E161" s="23"/>
      <c r="G161" s="24"/>
      <c r="H161" s="24"/>
      <c r="I161" s="25"/>
      <c r="J161" s="25"/>
      <c r="P161" s="26"/>
    </row>
    <row r="162">
      <c r="A162" s="22"/>
      <c r="B162" s="22"/>
      <c r="C162" s="23"/>
      <c r="D162" s="23"/>
      <c r="E162" s="23"/>
      <c r="G162" s="24"/>
      <c r="H162" s="24"/>
      <c r="I162" s="25"/>
      <c r="J162" s="25"/>
      <c r="P162" s="26"/>
    </row>
    <row r="163">
      <c r="A163" s="22"/>
      <c r="B163" s="22"/>
      <c r="C163" s="23"/>
      <c r="D163" s="23"/>
      <c r="E163" s="23"/>
      <c r="G163" s="24"/>
      <c r="H163" s="24"/>
      <c r="I163" s="25"/>
      <c r="J163" s="25"/>
      <c r="P163" s="26"/>
    </row>
    <row r="164">
      <c r="A164" s="22"/>
      <c r="B164" s="22"/>
      <c r="C164" s="23"/>
      <c r="D164" s="23"/>
      <c r="E164" s="23"/>
      <c r="G164" s="24"/>
      <c r="H164" s="24"/>
      <c r="I164" s="25"/>
      <c r="J164" s="25"/>
      <c r="P164" s="26"/>
    </row>
    <row r="165">
      <c r="A165" s="22"/>
      <c r="B165" s="22"/>
      <c r="C165" s="23"/>
      <c r="D165" s="23"/>
      <c r="E165" s="23"/>
      <c r="G165" s="24"/>
      <c r="H165" s="24"/>
      <c r="I165" s="25"/>
      <c r="J165" s="25"/>
      <c r="P165" s="26"/>
    </row>
    <row r="166">
      <c r="A166" s="22"/>
      <c r="B166" s="22"/>
      <c r="C166" s="23"/>
      <c r="D166" s="23"/>
      <c r="E166" s="23"/>
      <c r="G166" s="24"/>
      <c r="H166" s="24"/>
      <c r="I166" s="25"/>
      <c r="J166" s="25"/>
      <c r="P166" s="26"/>
    </row>
    <row r="167">
      <c r="A167" s="22"/>
      <c r="B167" s="22"/>
      <c r="C167" s="23"/>
      <c r="D167" s="23"/>
      <c r="E167" s="23"/>
      <c r="G167" s="24"/>
      <c r="H167" s="24"/>
      <c r="I167" s="25"/>
      <c r="J167" s="25"/>
      <c r="P167" s="26"/>
    </row>
    <row r="168">
      <c r="A168" s="22"/>
      <c r="B168" s="22"/>
      <c r="C168" s="23"/>
      <c r="D168" s="23"/>
      <c r="E168" s="23"/>
      <c r="G168" s="24"/>
      <c r="H168" s="24"/>
      <c r="I168" s="25"/>
      <c r="J168" s="25"/>
      <c r="P168" s="26"/>
    </row>
    <row r="169">
      <c r="A169" s="22"/>
      <c r="B169" s="22"/>
      <c r="C169" s="23"/>
      <c r="D169" s="23"/>
      <c r="E169" s="23"/>
      <c r="G169" s="24"/>
      <c r="H169" s="24"/>
      <c r="I169" s="25"/>
      <c r="J169" s="25"/>
      <c r="P169" s="26"/>
    </row>
    <row r="170">
      <c r="A170" s="22"/>
      <c r="B170" s="22"/>
      <c r="C170" s="23"/>
      <c r="D170" s="23"/>
      <c r="E170" s="23"/>
      <c r="G170" s="24"/>
      <c r="H170" s="24"/>
      <c r="I170" s="25"/>
      <c r="J170" s="25"/>
      <c r="P170" s="26"/>
    </row>
    <row r="171">
      <c r="A171" s="22"/>
      <c r="B171" s="22"/>
      <c r="C171" s="23"/>
      <c r="D171" s="23"/>
      <c r="E171" s="23"/>
      <c r="G171" s="24"/>
      <c r="H171" s="24"/>
      <c r="I171" s="25"/>
      <c r="J171" s="25"/>
      <c r="P171" s="26"/>
    </row>
    <row r="172">
      <c r="A172" s="22"/>
      <c r="B172" s="22"/>
      <c r="C172" s="23"/>
      <c r="D172" s="23"/>
      <c r="E172" s="23"/>
      <c r="G172" s="24"/>
      <c r="H172" s="24"/>
      <c r="I172" s="25"/>
      <c r="J172" s="25"/>
      <c r="P172" s="26"/>
    </row>
    <row r="173">
      <c r="A173" s="22"/>
      <c r="B173" s="22"/>
      <c r="C173" s="23"/>
      <c r="D173" s="23"/>
      <c r="E173" s="23"/>
      <c r="G173" s="24"/>
      <c r="H173" s="24"/>
      <c r="I173" s="25"/>
      <c r="J173" s="25"/>
      <c r="P173" s="26"/>
    </row>
    <row r="174">
      <c r="A174" s="22"/>
      <c r="B174" s="22"/>
      <c r="C174" s="23"/>
      <c r="D174" s="23"/>
      <c r="E174" s="23"/>
      <c r="G174" s="24"/>
      <c r="H174" s="24"/>
      <c r="I174" s="25"/>
      <c r="J174" s="25"/>
      <c r="P174" s="26"/>
    </row>
    <row r="175">
      <c r="A175" s="22"/>
      <c r="B175" s="22"/>
      <c r="C175" s="23"/>
      <c r="D175" s="23"/>
      <c r="E175" s="23"/>
      <c r="G175" s="24"/>
      <c r="H175" s="24"/>
      <c r="I175" s="25"/>
      <c r="J175" s="25"/>
      <c r="P175" s="26"/>
    </row>
    <row r="176">
      <c r="A176" s="22"/>
      <c r="B176" s="22"/>
      <c r="C176" s="23"/>
      <c r="D176" s="23"/>
      <c r="E176" s="23"/>
      <c r="G176" s="24"/>
      <c r="H176" s="24"/>
      <c r="I176" s="25"/>
      <c r="J176" s="25"/>
      <c r="P176" s="26"/>
    </row>
    <row r="177">
      <c r="A177" s="22"/>
      <c r="B177" s="22"/>
      <c r="C177" s="23"/>
      <c r="D177" s="23"/>
      <c r="E177" s="23"/>
      <c r="G177" s="24"/>
      <c r="H177" s="24"/>
      <c r="I177" s="25"/>
      <c r="J177" s="25"/>
      <c r="P177" s="26"/>
    </row>
    <row r="178">
      <c r="A178" s="22"/>
      <c r="B178" s="22"/>
      <c r="C178" s="23"/>
      <c r="D178" s="23"/>
      <c r="E178" s="23"/>
      <c r="G178" s="24"/>
      <c r="H178" s="24"/>
      <c r="I178" s="25"/>
      <c r="J178" s="25"/>
      <c r="P178" s="26"/>
    </row>
    <row r="179">
      <c r="A179" s="22"/>
      <c r="B179" s="22"/>
      <c r="C179" s="23"/>
      <c r="D179" s="23"/>
      <c r="E179" s="23"/>
      <c r="G179" s="24"/>
      <c r="H179" s="24"/>
      <c r="I179" s="25"/>
      <c r="J179" s="25"/>
      <c r="P179" s="26"/>
    </row>
    <row r="180">
      <c r="A180" s="22"/>
      <c r="B180" s="22"/>
      <c r="C180" s="23"/>
      <c r="D180" s="23"/>
      <c r="E180" s="23"/>
      <c r="G180" s="24"/>
      <c r="H180" s="24"/>
      <c r="I180" s="25"/>
      <c r="J180" s="25"/>
      <c r="P180" s="26"/>
    </row>
    <row r="181">
      <c r="A181" s="22"/>
      <c r="B181" s="22"/>
      <c r="C181" s="23"/>
      <c r="D181" s="23"/>
      <c r="E181" s="23"/>
      <c r="G181" s="24"/>
      <c r="H181" s="24"/>
      <c r="I181" s="25"/>
      <c r="J181" s="25"/>
      <c r="P181" s="26"/>
    </row>
    <row r="182">
      <c r="A182" s="22"/>
      <c r="B182" s="22"/>
      <c r="C182" s="23"/>
      <c r="D182" s="23"/>
      <c r="E182" s="23"/>
      <c r="G182" s="24"/>
      <c r="H182" s="24"/>
      <c r="I182" s="25"/>
      <c r="J182" s="25"/>
      <c r="P182" s="26"/>
    </row>
    <row r="183">
      <c r="A183" s="22"/>
      <c r="B183" s="22"/>
      <c r="C183" s="23"/>
      <c r="D183" s="23"/>
      <c r="E183" s="23"/>
      <c r="G183" s="24"/>
      <c r="H183" s="24"/>
      <c r="I183" s="25"/>
      <c r="J183" s="25"/>
      <c r="P183" s="26"/>
    </row>
    <row r="184">
      <c r="A184" s="22"/>
      <c r="B184" s="22"/>
      <c r="C184" s="23"/>
      <c r="D184" s="23"/>
      <c r="E184" s="23"/>
      <c r="G184" s="24"/>
      <c r="H184" s="24"/>
      <c r="I184" s="25"/>
      <c r="J184" s="25"/>
      <c r="P184" s="26"/>
    </row>
    <row r="185">
      <c r="A185" s="22"/>
      <c r="B185" s="22"/>
      <c r="C185" s="23"/>
      <c r="D185" s="23"/>
      <c r="E185" s="23"/>
      <c r="G185" s="24"/>
      <c r="H185" s="24"/>
      <c r="I185" s="25"/>
      <c r="J185" s="25"/>
      <c r="P185" s="26"/>
    </row>
    <row r="186">
      <c r="A186" s="22"/>
      <c r="B186" s="22"/>
      <c r="C186" s="23"/>
      <c r="D186" s="23"/>
      <c r="E186" s="23"/>
      <c r="G186" s="24"/>
      <c r="H186" s="24"/>
      <c r="I186" s="25"/>
      <c r="J186" s="25"/>
      <c r="P186" s="26"/>
    </row>
    <row r="187">
      <c r="A187" s="22"/>
      <c r="B187" s="22"/>
      <c r="C187" s="23"/>
      <c r="D187" s="23"/>
      <c r="E187" s="23"/>
      <c r="G187" s="24"/>
      <c r="H187" s="24"/>
      <c r="I187" s="25"/>
      <c r="J187" s="25"/>
      <c r="P187" s="26"/>
    </row>
    <row r="188">
      <c r="A188" s="22"/>
      <c r="B188" s="22"/>
      <c r="C188" s="23"/>
      <c r="D188" s="23"/>
      <c r="E188" s="23"/>
      <c r="G188" s="24"/>
      <c r="H188" s="24"/>
      <c r="I188" s="25"/>
      <c r="J188" s="25"/>
      <c r="P188" s="26"/>
    </row>
    <row r="189">
      <c r="A189" s="22"/>
      <c r="B189" s="22"/>
      <c r="C189" s="23"/>
      <c r="D189" s="23"/>
      <c r="E189" s="23"/>
      <c r="G189" s="24"/>
      <c r="H189" s="24"/>
      <c r="I189" s="25"/>
      <c r="J189" s="25"/>
      <c r="P189" s="26"/>
    </row>
    <row r="190">
      <c r="A190" s="22"/>
      <c r="B190" s="22"/>
      <c r="C190" s="23"/>
      <c r="D190" s="23"/>
      <c r="E190" s="23"/>
      <c r="G190" s="24"/>
      <c r="H190" s="24"/>
      <c r="I190" s="25"/>
      <c r="J190" s="25"/>
      <c r="P190" s="26"/>
    </row>
    <row r="191">
      <c r="A191" s="22"/>
      <c r="B191" s="22"/>
      <c r="C191" s="23"/>
      <c r="D191" s="23"/>
      <c r="E191" s="23"/>
      <c r="G191" s="24"/>
      <c r="H191" s="24"/>
      <c r="I191" s="25"/>
      <c r="J191" s="25"/>
      <c r="P191" s="26"/>
    </row>
    <row r="192">
      <c r="A192" s="22"/>
      <c r="B192" s="22"/>
      <c r="C192" s="23"/>
      <c r="D192" s="23"/>
      <c r="E192" s="23"/>
      <c r="G192" s="24"/>
      <c r="H192" s="24"/>
      <c r="I192" s="25"/>
      <c r="J192" s="25"/>
      <c r="P192" s="26"/>
    </row>
    <row r="193">
      <c r="A193" s="22"/>
      <c r="B193" s="22"/>
      <c r="C193" s="23"/>
      <c r="D193" s="23"/>
      <c r="E193" s="23"/>
      <c r="G193" s="24"/>
      <c r="H193" s="24"/>
      <c r="I193" s="25"/>
      <c r="J193" s="25"/>
      <c r="P193" s="26"/>
    </row>
    <row r="194">
      <c r="A194" s="22"/>
      <c r="B194" s="22"/>
      <c r="C194" s="23"/>
      <c r="D194" s="23"/>
      <c r="E194" s="23"/>
      <c r="G194" s="24"/>
      <c r="H194" s="24"/>
      <c r="I194" s="25"/>
      <c r="J194" s="25"/>
      <c r="P194" s="26"/>
    </row>
    <row r="195">
      <c r="A195" s="22"/>
      <c r="B195" s="22"/>
      <c r="C195" s="23"/>
      <c r="D195" s="23"/>
      <c r="E195" s="23"/>
      <c r="G195" s="24"/>
      <c r="H195" s="24"/>
      <c r="I195" s="25"/>
      <c r="J195" s="25"/>
      <c r="P195" s="26"/>
    </row>
    <row r="196">
      <c r="A196" s="22"/>
      <c r="B196" s="22"/>
      <c r="C196" s="23"/>
      <c r="D196" s="23"/>
      <c r="E196" s="23"/>
      <c r="G196" s="24"/>
      <c r="H196" s="24"/>
      <c r="I196" s="25"/>
      <c r="J196" s="25"/>
      <c r="P196" s="26"/>
    </row>
    <row r="197">
      <c r="A197" s="22"/>
      <c r="B197" s="22"/>
      <c r="C197" s="23"/>
      <c r="D197" s="23"/>
      <c r="E197" s="23"/>
      <c r="G197" s="24"/>
      <c r="H197" s="24"/>
      <c r="I197" s="25"/>
      <c r="J197" s="25"/>
      <c r="P197" s="26"/>
    </row>
    <row r="198">
      <c r="A198" s="22"/>
      <c r="B198" s="22"/>
      <c r="C198" s="23"/>
      <c r="D198" s="23"/>
      <c r="E198" s="23"/>
      <c r="G198" s="24"/>
      <c r="H198" s="24"/>
      <c r="I198" s="25"/>
      <c r="J198" s="25"/>
      <c r="P198" s="26"/>
    </row>
    <row r="199">
      <c r="A199" s="22"/>
      <c r="B199" s="22"/>
      <c r="C199" s="23"/>
      <c r="D199" s="23"/>
      <c r="E199" s="23"/>
      <c r="G199" s="24"/>
      <c r="H199" s="24"/>
      <c r="I199" s="25"/>
      <c r="J199" s="25"/>
      <c r="P199" s="26"/>
    </row>
    <row r="200">
      <c r="A200" s="22"/>
      <c r="B200" s="22"/>
      <c r="C200" s="23"/>
      <c r="D200" s="23"/>
      <c r="E200" s="23"/>
      <c r="G200" s="24"/>
      <c r="H200" s="24"/>
      <c r="I200" s="25"/>
      <c r="J200" s="25"/>
      <c r="P200" s="26"/>
    </row>
    <row r="201">
      <c r="A201" s="22"/>
      <c r="B201" s="22"/>
      <c r="C201" s="23"/>
      <c r="D201" s="23"/>
      <c r="E201" s="23"/>
      <c r="G201" s="24"/>
      <c r="H201" s="24"/>
      <c r="I201" s="25"/>
      <c r="J201" s="25"/>
      <c r="P201" s="26"/>
    </row>
    <row r="202">
      <c r="A202" s="22"/>
      <c r="B202" s="22"/>
      <c r="C202" s="23"/>
      <c r="D202" s="23"/>
      <c r="E202" s="23"/>
      <c r="G202" s="24"/>
      <c r="H202" s="24"/>
      <c r="I202" s="25"/>
      <c r="J202" s="25"/>
      <c r="P202" s="26"/>
    </row>
    <row r="203">
      <c r="A203" s="22"/>
      <c r="B203" s="22"/>
      <c r="C203" s="23"/>
      <c r="D203" s="23"/>
      <c r="E203" s="23"/>
      <c r="G203" s="24"/>
      <c r="H203" s="24"/>
      <c r="I203" s="25"/>
      <c r="J203" s="25"/>
      <c r="P203" s="26"/>
    </row>
    <row r="204">
      <c r="A204" s="22"/>
      <c r="B204" s="22"/>
      <c r="C204" s="23"/>
      <c r="D204" s="23"/>
      <c r="E204" s="23"/>
      <c r="G204" s="24"/>
      <c r="H204" s="24"/>
      <c r="I204" s="25"/>
      <c r="J204" s="25"/>
      <c r="P204" s="26"/>
    </row>
    <row r="205">
      <c r="A205" s="22"/>
      <c r="B205" s="22"/>
      <c r="C205" s="23"/>
      <c r="D205" s="23"/>
      <c r="E205" s="23"/>
      <c r="G205" s="24"/>
      <c r="H205" s="24"/>
      <c r="I205" s="25"/>
      <c r="J205" s="25"/>
      <c r="P205" s="26"/>
    </row>
    <row r="206">
      <c r="A206" s="22"/>
      <c r="B206" s="22"/>
      <c r="C206" s="23"/>
      <c r="D206" s="23"/>
      <c r="E206" s="23"/>
      <c r="G206" s="24"/>
      <c r="H206" s="24"/>
      <c r="I206" s="25"/>
      <c r="J206" s="25"/>
      <c r="P206" s="26"/>
    </row>
    <row r="207">
      <c r="A207" s="22"/>
      <c r="B207" s="22"/>
      <c r="C207" s="23"/>
      <c r="D207" s="23"/>
      <c r="E207" s="23"/>
      <c r="G207" s="24"/>
      <c r="H207" s="24"/>
      <c r="I207" s="25"/>
      <c r="J207" s="25"/>
      <c r="P207" s="26"/>
    </row>
    <row r="208">
      <c r="A208" s="22"/>
      <c r="B208" s="22"/>
      <c r="C208" s="23"/>
      <c r="D208" s="23"/>
      <c r="E208" s="23"/>
      <c r="G208" s="24"/>
      <c r="H208" s="24"/>
      <c r="I208" s="25"/>
      <c r="J208" s="25"/>
      <c r="P208" s="26"/>
    </row>
    <row r="209">
      <c r="A209" s="22"/>
      <c r="B209" s="22"/>
      <c r="C209" s="23"/>
      <c r="D209" s="23"/>
      <c r="E209" s="23"/>
      <c r="G209" s="24"/>
      <c r="H209" s="24"/>
      <c r="I209" s="25"/>
      <c r="J209" s="25"/>
      <c r="P209" s="26"/>
    </row>
    <row r="210">
      <c r="A210" s="22"/>
      <c r="B210" s="22"/>
      <c r="C210" s="23"/>
      <c r="D210" s="23"/>
      <c r="E210" s="23"/>
      <c r="G210" s="24"/>
      <c r="H210" s="24"/>
      <c r="I210" s="25"/>
      <c r="J210" s="25"/>
      <c r="P210" s="26"/>
    </row>
    <row r="211">
      <c r="A211" s="22"/>
      <c r="B211" s="22"/>
      <c r="C211" s="23"/>
      <c r="D211" s="23"/>
      <c r="E211" s="23"/>
      <c r="G211" s="24"/>
      <c r="H211" s="24"/>
      <c r="I211" s="25"/>
      <c r="J211" s="25"/>
      <c r="P211" s="26"/>
    </row>
    <row r="212">
      <c r="A212" s="22"/>
      <c r="B212" s="22"/>
      <c r="C212" s="23"/>
      <c r="D212" s="23"/>
      <c r="E212" s="23"/>
      <c r="G212" s="24"/>
      <c r="H212" s="24"/>
      <c r="I212" s="25"/>
      <c r="J212" s="25"/>
      <c r="P212" s="26"/>
    </row>
    <row r="213">
      <c r="A213" s="22"/>
      <c r="B213" s="22"/>
      <c r="C213" s="23"/>
      <c r="D213" s="23"/>
      <c r="E213" s="23"/>
      <c r="G213" s="24"/>
      <c r="H213" s="24"/>
      <c r="I213" s="25"/>
      <c r="J213" s="25"/>
      <c r="P213" s="26"/>
    </row>
    <row r="214">
      <c r="A214" s="22"/>
      <c r="B214" s="22"/>
      <c r="C214" s="23"/>
      <c r="D214" s="23"/>
      <c r="E214" s="23"/>
      <c r="G214" s="24"/>
      <c r="H214" s="24"/>
      <c r="I214" s="25"/>
      <c r="J214" s="25"/>
      <c r="P214" s="26"/>
    </row>
    <row r="215">
      <c r="A215" s="22"/>
      <c r="B215" s="22"/>
      <c r="C215" s="23"/>
      <c r="D215" s="23"/>
      <c r="E215" s="23"/>
      <c r="G215" s="24"/>
      <c r="H215" s="24"/>
      <c r="I215" s="25"/>
      <c r="J215" s="25"/>
      <c r="P215" s="26"/>
    </row>
    <row r="216">
      <c r="A216" s="22"/>
      <c r="B216" s="22"/>
      <c r="C216" s="23"/>
      <c r="D216" s="23"/>
      <c r="E216" s="23"/>
      <c r="G216" s="24"/>
      <c r="H216" s="24"/>
      <c r="I216" s="25"/>
      <c r="J216" s="25"/>
      <c r="P216" s="26"/>
    </row>
    <row r="217">
      <c r="A217" s="22"/>
      <c r="B217" s="22"/>
      <c r="C217" s="23"/>
      <c r="D217" s="23"/>
      <c r="E217" s="23"/>
      <c r="G217" s="24"/>
      <c r="H217" s="24"/>
      <c r="I217" s="25"/>
      <c r="J217" s="25"/>
      <c r="P217" s="26"/>
    </row>
    <row r="218">
      <c r="A218" s="22"/>
      <c r="B218" s="22"/>
      <c r="C218" s="23"/>
      <c r="D218" s="23"/>
      <c r="E218" s="23"/>
      <c r="G218" s="24"/>
      <c r="H218" s="24"/>
      <c r="I218" s="25"/>
      <c r="J218" s="25"/>
      <c r="P218" s="26"/>
    </row>
    <row r="219">
      <c r="A219" s="22"/>
      <c r="B219" s="22"/>
      <c r="C219" s="23"/>
      <c r="D219" s="23"/>
      <c r="E219" s="23"/>
      <c r="G219" s="24"/>
      <c r="H219" s="24"/>
      <c r="I219" s="25"/>
      <c r="J219" s="25"/>
      <c r="P219" s="26"/>
    </row>
    <row r="220">
      <c r="A220" s="22"/>
      <c r="B220" s="22"/>
      <c r="C220" s="23"/>
      <c r="D220" s="23"/>
      <c r="E220" s="23"/>
      <c r="G220" s="24"/>
      <c r="H220" s="24"/>
      <c r="I220" s="25"/>
      <c r="J220" s="25"/>
      <c r="P220" s="26"/>
    </row>
    <row r="221">
      <c r="A221" s="22"/>
      <c r="B221" s="22"/>
      <c r="C221" s="23"/>
      <c r="D221" s="23"/>
      <c r="E221" s="23"/>
      <c r="G221" s="24"/>
      <c r="H221" s="24"/>
      <c r="I221" s="25"/>
      <c r="J221" s="25"/>
      <c r="P221" s="26"/>
    </row>
    <row r="222">
      <c r="A222" s="22"/>
      <c r="B222" s="22"/>
      <c r="C222" s="23"/>
      <c r="D222" s="23"/>
      <c r="E222" s="23"/>
      <c r="G222" s="24"/>
      <c r="H222" s="24"/>
      <c r="I222" s="25"/>
      <c r="J222" s="25"/>
      <c r="P222" s="26"/>
    </row>
    <row r="223">
      <c r="A223" s="22"/>
      <c r="B223" s="22"/>
      <c r="C223" s="23"/>
      <c r="D223" s="23"/>
      <c r="E223" s="23"/>
      <c r="G223" s="24"/>
      <c r="H223" s="24"/>
      <c r="I223" s="25"/>
      <c r="J223" s="25"/>
      <c r="P223" s="26"/>
    </row>
    <row r="224">
      <c r="A224" s="22"/>
      <c r="B224" s="22"/>
      <c r="C224" s="23"/>
      <c r="D224" s="23"/>
      <c r="E224" s="23"/>
      <c r="G224" s="24"/>
      <c r="H224" s="24"/>
      <c r="I224" s="25"/>
      <c r="J224" s="25"/>
      <c r="P224" s="26"/>
    </row>
    <row r="225">
      <c r="A225" s="22"/>
      <c r="B225" s="22"/>
      <c r="C225" s="23"/>
      <c r="D225" s="23"/>
      <c r="E225" s="23"/>
      <c r="G225" s="24"/>
      <c r="H225" s="24"/>
      <c r="I225" s="25"/>
      <c r="J225" s="25"/>
      <c r="P225" s="26"/>
    </row>
    <row r="226">
      <c r="A226" s="22"/>
      <c r="B226" s="22"/>
      <c r="C226" s="23"/>
      <c r="D226" s="23"/>
      <c r="E226" s="23"/>
      <c r="G226" s="24"/>
      <c r="H226" s="24"/>
      <c r="I226" s="25"/>
      <c r="J226" s="25"/>
      <c r="P226" s="26"/>
    </row>
    <row r="227">
      <c r="A227" s="22"/>
      <c r="B227" s="22"/>
      <c r="C227" s="23"/>
      <c r="D227" s="23"/>
      <c r="E227" s="23"/>
      <c r="G227" s="24"/>
      <c r="H227" s="24"/>
      <c r="I227" s="25"/>
      <c r="J227" s="25"/>
      <c r="P227" s="26"/>
    </row>
    <row r="228">
      <c r="A228" s="22"/>
      <c r="B228" s="22"/>
      <c r="C228" s="23"/>
      <c r="D228" s="23"/>
      <c r="E228" s="23"/>
      <c r="G228" s="24"/>
      <c r="H228" s="24"/>
      <c r="I228" s="25"/>
      <c r="J228" s="25"/>
      <c r="P228" s="26"/>
    </row>
    <row r="229">
      <c r="A229" s="22"/>
      <c r="B229" s="22"/>
      <c r="C229" s="23"/>
      <c r="D229" s="23"/>
      <c r="E229" s="23"/>
      <c r="G229" s="24"/>
      <c r="H229" s="24"/>
      <c r="I229" s="25"/>
      <c r="J229" s="25"/>
      <c r="P229" s="26"/>
    </row>
    <row r="230">
      <c r="A230" s="22"/>
      <c r="B230" s="22"/>
      <c r="C230" s="23"/>
      <c r="D230" s="23"/>
      <c r="E230" s="23"/>
      <c r="G230" s="24"/>
      <c r="H230" s="24"/>
      <c r="I230" s="25"/>
      <c r="J230" s="25"/>
      <c r="P230" s="26"/>
    </row>
    <row r="231">
      <c r="A231" s="22"/>
      <c r="B231" s="22"/>
      <c r="C231" s="23"/>
      <c r="D231" s="23"/>
      <c r="E231" s="23"/>
      <c r="G231" s="24"/>
      <c r="H231" s="24"/>
      <c r="I231" s="25"/>
      <c r="J231" s="25"/>
      <c r="P231" s="26"/>
    </row>
    <row r="232">
      <c r="A232" s="22"/>
      <c r="B232" s="22"/>
      <c r="C232" s="23"/>
      <c r="D232" s="23"/>
      <c r="E232" s="23"/>
      <c r="G232" s="24"/>
      <c r="H232" s="24"/>
      <c r="I232" s="25"/>
      <c r="J232" s="25"/>
      <c r="P232" s="26"/>
    </row>
    <row r="233">
      <c r="A233" s="22"/>
      <c r="B233" s="22"/>
      <c r="C233" s="23"/>
      <c r="D233" s="23"/>
      <c r="E233" s="23"/>
      <c r="G233" s="24"/>
      <c r="H233" s="24"/>
      <c r="I233" s="25"/>
      <c r="J233" s="25"/>
      <c r="P233" s="26"/>
    </row>
    <row r="234">
      <c r="A234" s="22"/>
      <c r="B234" s="22"/>
      <c r="C234" s="23"/>
      <c r="D234" s="23"/>
      <c r="E234" s="23"/>
      <c r="G234" s="24"/>
      <c r="H234" s="24"/>
      <c r="I234" s="25"/>
      <c r="J234" s="25"/>
      <c r="P234" s="26"/>
    </row>
    <row r="235">
      <c r="A235" s="22"/>
      <c r="B235" s="22"/>
      <c r="C235" s="23"/>
      <c r="D235" s="23"/>
      <c r="E235" s="23"/>
      <c r="G235" s="24"/>
      <c r="H235" s="24"/>
      <c r="I235" s="25"/>
      <c r="J235" s="25"/>
      <c r="P235" s="26"/>
    </row>
    <row r="236">
      <c r="A236" s="22"/>
      <c r="B236" s="22"/>
      <c r="C236" s="23"/>
      <c r="D236" s="23"/>
      <c r="E236" s="23"/>
      <c r="G236" s="24"/>
      <c r="H236" s="24"/>
      <c r="I236" s="25"/>
      <c r="J236" s="25"/>
      <c r="P236" s="26"/>
    </row>
    <row r="237">
      <c r="A237" s="22"/>
      <c r="B237" s="22"/>
      <c r="C237" s="23"/>
      <c r="D237" s="23"/>
      <c r="E237" s="23"/>
      <c r="G237" s="24"/>
      <c r="H237" s="24"/>
      <c r="I237" s="25"/>
      <c r="J237" s="25"/>
      <c r="P237" s="26"/>
    </row>
    <row r="238">
      <c r="A238" s="22"/>
      <c r="B238" s="22"/>
      <c r="C238" s="23"/>
      <c r="D238" s="23"/>
      <c r="E238" s="23"/>
      <c r="G238" s="24"/>
      <c r="H238" s="24"/>
      <c r="I238" s="25"/>
      <c r="J238" s="25"/>
      <c r="P238" s="26"/>
    </row>
    <row r="239">
      <c r="A239" s="22"/>
      <c r="B239" s="22"/>
      <c r="C239" s="23"/>
      <c r="D239" s="23"/>
      <c r="E239" s="23"/>
      <c r="G239" s="24"/>
      <c r="H239" s="24"/>
      <c r="I239" s="25"/>
      <c r="J239" s="25"/>
      <c r="P239" s="26"/>
    </row>
    <row r="240">
      <c r="A240" s="22"/>
      <c r="B240" s="22"/>
      <c r="C240" s="23"/>
      <c r="D240" s="23"/>
      <c r="E240" s="23"/>
      <c r="G240" s="24"/>
      <c r="H240" s="24"/>
      <c r="I240" s="25"/>
      <c r="J240" s="25"/>
      <c r="P240" s="26"/>
    </row>
    <row r="241">
      <c r="A241" s="22"/>
      <c r="B241" s="22"/>
      <c r="C241" s="23"/>
      <c r="D241" s="23"/>
      <c r="E241" s="23"/>
      <c r="G241" s="24"/>
      <c r="H241" s="24"/>
      <c r="I241" s="25"/>
      <c r="J241" s="25"/>
      <c r="P241" s="26"/>
    </row>
    <row r="242">
      <c r="A242" s="22"/>
      <c r="B242" s="22"/>
      <c r="C242" s="23"/>
      <c r="D242" s="23"/>
      <c r="E242" s="23"/>
      <c r="G242" s="24"/>
      <c r="H242" s="24"/>
      <c r="I242" s="25"/>
      <c r="J242" s="25"/>
      <c r="P242" s="26"/>
    </row>
    <row r="243">
      <c r="A243" s="22"/>
      <c r="B243" s="22"/>
      <c r="C243" s="23"/>
      <c r="D243" s="23"/>
      <c r="E243" s="23"/>
      <c r="G243" s="24"/>
      <c r="H243" s="24"/>
      <c r="I243" s="25"/>
      <c r="J243" s="25"/>
      <c r="P243" s="26"/>
    </row>
    <row r="244">
      <c r="A244" s="22"/>
      <c r="B244" s="22"/>
      <c r="C244" s="23"/>
      <c r="D244" s="23"/>
      <c r="E244" s="23"/>
      <c r="G244" s="24"/>
      <c r="H244" s="24"/>
      <c r="I244" s="25"/>
      <c r="J244" s="25"/>
      <c r="P244" s="26"/>
    </row>
    <row r="245">
      <c r="A245" s="22"/>
      <c r="B245" s="22"/>
      <c r="C245" s="23"/>
      <c r="D245" s="23"/>
      <c r="E245" s="23"/>
      <c r="G245" s="24"/>
      <c r="H245" s="24"/>
      <c r="I245" s="25"/>
      <c r="J245" s="25"/>
      <c r="P245" s="26"/>
    </row>
    <row r="246">
      <c r="A246" s="22"/>
      <c r="B246" s="22"/>
      <c r="C246" s="23"/>
      <c r="D246" s="23"/>
      <c r="E246" s="23"/>
      <c r="G246" s="24"/>
      <c r="H246" s="24"/>
      <c r="I246" s="25"/>
      <c r="J246" s="25"/>
      <c r="P246" s="26"/>
    </row>
    <row r="247">
      <c r="A247" s="22"/>
      <c r="B247" s="22"/>
      <c r="C247" s="23"/>
      <c r="D247" s="23"/>
      <c r="E247" s="23"/>
      <c r="G247" s="24"/>
      <c r="H247" s="24"/>
      <c r="I247" s="25"/>
      <c r="J247" s="25"/>
      <c r="P247" s="26"/>
    </row>
    <row r="248">
      <c r="A248" s="22"/>
      <c r="B248" s="22"/>
      <c r="C248" s="23"/>
      <c r="D248" s="23"/>
      <c r="E248" s="23"/>
      <c r="G248" s="24"/>
      <c r="H248" s="24"/>
      <c r="I248" s="25"/>
      <c r="J248" s="25"/>
      <c r="P248" s="26"/>
    </row>
    <row r="249">
      <c r="A249" s="22"/>
      <c r="B249" s="22"/>
      <c r="C249" s="23"/>
      <c r="D249" s="23"/>
      <c r="E249" s="23"/>
      <c r="G249" s="24"/>
      <c r="H249" s="24"/>
      <c r="I249" s="25"/>
      <c r="J249" s="25"/>
      <c r="P249" s="26"/>
    </row>
    <row r="250">
      <c r="A250" s="22"/>
      <c r="B250" s="22"/>
      <c r="C250" s="23"/>
      <c r="D250" s="23"/>
      <c r="E250" s="23"/>
      <c r="G250" s="24"/>
      <c r="H250" s="24"/>
      <c r="I250" s="25"/>
      <c r="J250" s="25"/>
      <c r="P250" s="26"/>
    </row>
    <row r="251">
      <c r="A251" s="22"/>
      <c r="B251" s="22"/>
      <c r="C251" s="23"/>
      <c r="D251" s="23"/>
      <c r="E251" s="23"/>
      <c r="G251" s="24"/>
      <c r="H251" s="24"/>
      <c r="I251" s="25"/>
      <c r="J251" s="25"/>
      <c r="P251" s="26"/>
    </row>
    <row r="252">
      <c r="A252" s="22"/>
      <c r="B252" s="22"/>
      <c r="C252" s="23"/>
      <c r="D252" s="23"/>
      <c r="E252" s="23"/>
      <c r="G252" s="24"/>
      <c r="H252" s="24"/>
      <c r="I252" s="25"/>
      <c r="J252" s="25"/>
      <c r="P252" s="26"/>
    </row>
    <row r="253">
      <c r="A253" s="22"/>
      <c r="B253" s="22"/>
      <c r="C253" s="23"/>
      <c r="D253" s="23"/>
      <c r="E253" s="23"/>
      <c r="G253" s="24"/>
      <c r="H253" s="24"/>
      <c r="I253" s="25"/>
      <c r="J253" s="25"/>
      <c r="P253" s="26"/>
    </row>
    <row r="254">
      <c r="A254" s="22"/>
      <c r="B254" s="22"/>
      <c r="C254" s="23"/>
      <c r="D254" s="23"/>
      <c r="E254" s="23"/>
      <c r="G254" s="24"/>
      <c r="H254" s="24"/>
      <c r="I254" s="25"/>
      <c r="J254" s="25"/>
      <c r="P254" s="26"/>
    </row>
    <row r="255">
      <c r="A255" s="22"/>
      <c r="B255" s="22"/>
      <c r="C255" s="23"/>
      <c r="D255" s="23"/>
      <c r="E255" s="23"/>
      <c r="G255" s="24"/>
      <c r="H255" s="24"/>
      <c r="I255" s="25"/>
      <c r="J255" s="25"/>
      <c r="P255" s="26"/>
    </row>
    <row r="256">
      <c r="A256" s="22"/>
      <c r="B256" s="22"/>
      <c r="C256" s="23"/>
      <c r="D256" s="23"/>
      <c r="E256" s="23"/>
      <c r="G256" s="24"/>
      <c r="H256" s="24"/>
      <c r="I256" s="25"/>
      <c r="J256" s="25"/>
      <c r="P256" s="26"/>
    </row>
    <row r="257">
      <c r="A257" s="22"/>
      <c r="B257" s="22"/>
      <c r="C257" s="23"/>
      <c r="D257" s="23"/>
      <c r="E257" s="23"/>
      <c r="G257" s="24"/>
      <c r="H257" s="24"/>
      <c r="I257" s="25"/>
      <c r="J257" s="25"/>
      <c r="P257" s="26"/>
    </row>
    <row r="258">
      <c r="A258" s="22"/>
      <c r="B258" s="22"/>
      <c r="C258" s="23"/>
      <c r="D258" s="23"/>
      <c r="E258" s="23"/>
      <c r="G258" s="24"/>
      <c r="H258" s="24"/>
      <c r="I258" s="25"/>
      <c r="J258" s="25"/>
      <c r="P258" s="26"/>
    </row>
    <row r="259">
      <c r="A259" s="22"/>
      <c r="B259" s="22"/>
      <c r="C259" s="23"/>
      <c r="D259" s="23"/>
      <c r="E259" s="23"/>
      <c r="G259" s="24"/>
      <c r="H259" s="24"/>
      <c r="I259" s="25"/>
      <c r="J259" s="25"/>
      <c r="P259" s="26"/>
    </row>
    <row r="260">
      <c r="A260" s="22"/>
      <c r="B260" s="22"/>
      <c r="C260" s="23"/>
      <c r="D260" s="23"/>
      <c r="E260" s="23"/>
      <c r="G260" s="24"/>
      <c r="H260" s="24"/>
      <c r="I260" s="25"/>
      <c r="J260" s="25"/>
      <c r="P260" s="26"/>
    </row>
    <row r="261">
      <c r="A261" s="22"/>
      <c r="B261" s="22"/>
      <c r="C261" s="23"/>
      <c r="D261" s="23"/>
      <c r="E261" s="23"/>
      <c r="G261" s="24"/>
      <c r="H261" s="24"/>
      <c r="I261" s="25"/>
      <c r="J261" s="25"/>
      <c r="P261" s="26"/>
    </row>
    <row r="262">
      <c r="A262" s="22"/>
      <c r="B262" s="22"/>
      <c r="C262" s="23"/>
      <c r="D262" s="23"/>
      <c r="E262" s="23"/>
      <c r="G262" s="24"/>
      <c r="H262" s="24"/>
      <c r="I262" s="25"/>
      <c r="J262" s="25"/>
      <c r="P262" s="26"/>
    </row>
    <row r="263">
      <c r="A263" s="22"/>
      <c r="B263" s="22"/>
      <c r="C263" s="23"/>
      <c r="D263" s="23"/>
      <c r="E263" s="23"/>
      <c r="G263" s="24"/>
      <c r="H263" s="24"/>
      <c r="I263" s="25"/>
      <c r="J263" s="25"/>
      <c r="P263" s="26"/>
    </row>
    <row r="264">
      <c r="A264" s="22"/>
      <c r="B264" s="22"/>
      <c r="C264" s="23"/>
      <c r="D264" s="23"/>
      <c r="E264" s="23"/>
      <c r="G264" s="24"/>
      <c r="H264" s="24"/>
      <c r="I264" s="25"/>
      <c r="J264" s="25"/>
      <c r="P264" s="26"/>
    </row>
    <row r="265">
      <c r="A265" s="22"/>
      <c r="B265" s="22"/>
      <c r="C265" s="23"/>
      <c r="D265" s="23"/>
      <c r="E265" s="23"/>
      <c r="G265" s="24"/>
      <c r="H265" s="24"/>
      <c r="I265" s="25"/>
      <c r="J265" s="25"/>
      <c r="P265" s="26"/>
    </row>
    <row r="266">
      <c r="A266" s="22"/>
      <c r="B266" s="22"/>
      <c r="C266" s="23"/>
      <c r="D266" s="23"/>
      <c r="E266" s="23"/>
      <c r="G266" s="24"/>
      <c r="H266" s="24"/>
      <c r="I266" s="25"/>
      <c r="J266" s="25"/>
      <c r="P266" s="26"/>
    </row>
    <row r="267">
      <c r="A267" s="22"/>
      <c r="B267" s="22"/>
      <c r="C267" s="23"/>
      <c r="D267" s="23"/>
      <c r="E267" s="23"/>
      <c r="G267" s="24"/>
      <c r="H267" s="24"/>
      <c r="I267" s="25"/>
      <c r="J267" s="25"/>
      <c r="P267" s="26"/>
    </row>
    <row r="268">
      <c r="A268" s="22"/>
      <c r="B268" s="22"/>
      <c r="C268" s="23"/>
      <c r="D268" s="23"/>
      <c r="E268" s="23"/>
      <c r="G268" s="24"/>
      <c r="H268" s="24"/>
      <c r="I268" s="25"/>
      <c r="J268" s="25"/>
      <c r="P268" s="26"/>
    </row>
    <row r="269">
      <c r="A269" s="22"/>
      <c r="B269" s="22"/>
      <c r="C269" s="23"/>
      <c r="D269" s="23"/>
      <c r="E269" s="23"/>
      <c r="G269" s="24"/>
      <c r="H269" s="24"/>
      <c r="I269" s="25"/>
      <c r="J269" s="25"/>
      <c r="P269" s="26"/>
    </row>
    <row r="270">
      <c r="A270" s="22"/>
      <c r="B270" s="22"/>
      <c r="C270" s="23"/>
      <c r="D270" s="23"/>
      <c r="E270" s="23"/>
      <c r="G270" s="24"/>
      <c r="H270" s="24"/>
      <c r="I270" s="25"/>
      <c r="J270" s="25"/>
      <c r="P270" s="26"/>
    </row>
    <row r="271">
      <c r="A271" s="22"/>
      <c r="B271" s="22"/>
      <c r="C271" s="23"/>
      <c r="D271" s="23"/>
      <c r="E271" s="23"/>
      <c r="G271" s="24"/>
      <c r="H271" s="24"/>
      <c r="I271" s="25"/>
      <c r="J271" s="25"/>
      <c r="P271" s="26"/>
    </row>
    <row r="272">
      <c r="A272" s="22"/>
      <c r="B272" s="22"/>
      <c r="C272" s="23"/>
      <c r="D272" s="23"/>
      <c r="E272" s="23"/>
      <c r="G272" s="24"/>
      <c r="H272" s="24"/>
      <c r="I272" s="25"/>
      <c r="J272" s="25"/>
      <c r="P272" s="26"/>
    </row>
    <row r="273">
      <c r="A273" s="22"/>
      <c r="B273" s="22"/>
      <c r="C273" s="23"/>
      <c r="D273" s="23"/>
      <c r="E273" s="23"/>
      <c r="G273" s="24"/>
      <c r="H273" s="24"/>
      <c r="I273" s="25"/>
      <c r="J273" s="25"/>
      <c r="P273" s="26"/>
    </row>
    <row r="274">
      <c r="A274" s="22"/>
      <c r="B274" s="22"/>
      <c r="C274" s="23"/>
      <c r="D274" s="23"/>
      <c r="E274" s="23"/>
      <c r="G274" s="24"/>
      <c r="H274" s="24"/>
      <c r="I274" s="25"/>
      <c r="J274" s="25"/>
      <c r="P274" s="26"/>
    </row>
    <row r="275">
      <c r="A275" s="22"/>
      <c r="B275" s="22"/>
      <c r="C275" s="23"/>
      <c r="D275" s="23"/>
      <c r="E275" s="23"/>
      <c r="G275" s="24"/>
      <c r="H275" s="24"/>
      <c r="I275" s="25"/>
      <c r="J275" s="25"/>
      <c r="P275" s="26"/>
    </row>
    <row r="276">
      <c r="A276" s="22"/>
      <c r="B276" s="22"/>
      <c r="C276" s="23"/>
      <c r="D276" s="23"/>
      <c r="E276" s="23"/>
      <c r="G276" s="24"/>
      <c r="H276" s="24"/>
      <c r="I276" s="25"/>
      <c r="J276" s="25"/>
      <c r="P276" s="26"/>
    </row>
    <row r="277">
      <c r="A277" s="22"/>
      <c r="B277" s="22"/>
      <c r="C277" s="23"/>
      <c r="D277" s="23"/>
      <c r="E277" s="23"/>
      <c r="G277" s="24"/>
      <c r="H277" s="24"/>
      <c r="I277" s="25"/>
      <c r="J277" s="25"/>
      <c r="P277" s="26"/>
    </row>
    <row r="278">
      <c r="A278" s="22"/>
      <c r="B278" s="22"/>
      <c r="C278" s="23"/>
      <c r="D278" s="23"/>
      <c r="E278" s="23"/>
      <c r="G278" s="24"/>
      <c r="H278" s="24"/>
      <c r="I278" s="25"/>
      <c r="J278" s="25"/>
      <c r="P278" s="26"/>
    </row>
    <row r="279">
      <c r="A279" s="22"/>
      <c r="B279" s="22"/>
      <c r="C279" s="23"/>
      <c r="D279" s="23"/>
      <c r="E279" s="23"/>
      <c r="G279" s="24"/>
      <c r="H279" s="24"/>
      <c r="I279" s="25"/>
      <c r="J279" s="25"/>
      <c r="P279" s="26"/>
    </row>
    <row r="280">
      <c r="A280" s="22"/>
      <c r="B280" s="22"/>
      <c r="C280" s="23"/>
      <c r="D280" s="23"/>
      <c r="E280" s="23"/>
      <c r="G280" s="24"/>
      <c r="H280" s="24"/>
      <c r="I280" s="25"/>
      <c r="J280" s="25"/>
      <c r="P280" s="26"/>
    </row>
    <row r="281">
      <c r="A281" s="22"/>
      <c r="B281" s="22"/>
      <c r="C281" s="23"/>
      <c r="D281" s="23"/>
      <c r="E281" s="23"/>
      <c r="G281" s="24"/>
      <c r="H281" s="24"/>
      <c r="I281" s="25"/>
      <c r="J281" s="25"/>
      <c r="P281" s="26"/>
    </row>
    <row r="282">
      <c r="A282" s="22"/>
      <c r="B282" s="22"/>
      <c r="C282" s="23"/>
      <c r="D282" s="23"/>
      <c r="E282" s="23"/>
      <c r="G282" s="24"/>
      <c r="H282" s="24"/>
      <c r="I282" s="25"/>
      <c r="J282" s="25"/>
      <c r="P282" s="26"/>
    </row>
    <row r="283">
      <c r="A283" s="22"/>
      <c r="B283" s="22"/>
      <c r="C283" s="23"/>
      <c r="D283" s="23"/>
      <c r="E283" s="23"/>
      <c r="G283" s="24"/>
      <c r="H283" s="24"/>
      <c r="I283" s="25"/>
      <c r="J283" s="25"/>
      <c r="P283" s="26"/>
    </row>
    <row r="284">
      <c r="A284" s="22"/>
      <c r="B284" s="22"/>
      <c r="C284" s="23"/>
      <c r="D284" s="23"/>
      <c r="E284" s="23"/>
      <c r="G284" s="24"/>
      <c r="H284" s="24"/>
      <c r="I284" s="25"/>
      <c r="J284" s="25"/>
      <c r="P284" s="26"/>
    </row>
    <row r="285">
      <c r="A285" s="22"/>
      <c r="B285" s="22"/>
      <c r="C285" s="23"/>
      <c r="D285" s="23"/>
      <c r="E285" s="23"/>
      <c r="G285" s="24"/>
      <c r="H285" s="24"/>
      <c r="I285" s="25"/>
      <c r="J285" s="25"/>
      <c r="P285" s="26"/>
    </row>
    <row r="286">
      <c r="A286" s="22"/>
      <c r="B286" s="22"/>
      <c r="C286" s="23"/>
      <c r="D286" s="23"/>
      <c r="E286" s="23"/>
      <c r="G286" s="24"/>
      <c r="H286" s="24"/>
      <c r="I286" s="25"/>
      <c r="J286" s="25"/>
      <c r="P286" s="26"/>
    </row>
    <row r="287">
      <c r="A287" s="22"/>
      <c r="B287" s="22"/>
      <c r="C287" s="23"/>
      <c r="D287" s="23"/>
      <c r="E287" s="23"/>
      <c r="G287" s="24"/>
      <c r="H287" s="24"/>
      <c r="I287" s="25"/>
      <c r="J287" s="25"/>
      <c r="P287" s="26"/>
    </row>
    <row r="288">
      <c r="A288" s="22"/>
      <c r="B288" s="22"/>
      <c r="C288" s="23"/>
      <c r="D288" s="23"/>
      <c r="E288" s="23"/>
      <c r="G288" s="24"/>
      <c r="H288" s="24"/>
      <c r="I288" s="25"/>
      <c r="J288" s="25"/>
      <c r="P288" s="26"/>
    </row>
    <row r="289">
      <c r="A289" s="22"/>
      <c r="B289" s="22"/>
      <c r="C289" s="23"/>
      <c r="D289" s="23"/>
      <c r="E289" s="23"/>
      <c r="G289" s="24"/>
      <c r="H289" s="24"/>
      <c r="I289" s="25"/>
      <c r="J289" s="25"/>
      <c r="P289" s="26"/>
    </row>
    <row r="290">
      <c r="A290" s="22"/>
      <c r="B290" s="22"/>
      <c r="C290" s="23"/>
      <c r="D290" s="23"/>
      <c r="E290" s="23"/>
      <c r="G290" s="24"/>
      <c r="H290" s="24"/>
      <c r="I290" s="25"/>
      <c r="J290" s="25"/>
      <c r="P290" s="26"/>
    </row>
    <row r="291">
      <c r="A291" s="22"/>
      <c r="B291" s="22"/>
      <c r="C291" s="23"/>
      <c r="D291" s="23"/>
      <c r="E291" s="23"/>
      <c r="G291" s="24"/>
      <c r="H291" s="24"/>
      <c r="I291" s="25"/>
      <c r="J291" s="25"/>
      <c r="P291" s="26"/>
    </row>
    <row r="292">
      <c r="A292" s="22"/>
      <c r="B292" s="22"/>
      <c r="C292" s="23"/>
      <c r="D292" s="23"/>
      <c r="E292" s="23"/>
      <c r="G292" s="24"/>
      <c r="H292" s="24"/>
      <c r="I292" s="25"/>
      <c r="J292" s="25"/>
      <c r="P292" s="26"/>
    </row>
    <row r="293">
      <c r="A293" s="22"/>
      <c r="B293" s="22"/>
      <c r="C293" s="23"/>
      <c r="D293" s="23"/>
      <c r="E293" s="23"/>
      <c r="G293" s="24"/>
      <c r="H293" s="24"/>
      <c r="I293" s="25"/>
      <c r="J293" s="25"/>
      <c r="P293" s="26"/>
    </row>
    <row r="294">
      <c r="A294" s="22"/>
      <c r="B294" s="22"/>
      <c r="C294" s="23"/>
      <c r="D294" s="23"/>
      <c r="E294" s="23"/>
      <c r="G294" s="24"/>
      <c r="H294" s="24"/>
      <c r="I294" s="25"/>
      <c r="J294" s="25"/>
      <c r="P294" s="26"/>
    </row>
    <row r="295">
      <c r="A295" s="22"/>
      <c r="B295" s="22"/>
      <c r="C295" s="23"/>
      <c r="D295" s="23"/>
      <c r="E295" s="23"/>
      <c r="G295" s="24"/>
      <c r="H295" s="24"/>
      <c r="I295" s="25"/>
      <c r="J295" s="25"/>
      <c r="P295" s="26"/>
    </row>
    <row r="296">
      <c r="A296" s="22"/>
      <c r="B296" s="22"/>
      <c r="C296" s="23"/>
      <c r="D296" s="23"/>
      <c r="E296" s="23"/>
      <c r="G296" s="24"/>
      <c r="H296" s="24"/>
      <c r="I296" s="25"/>
      <c r="J296" s="25"/>
      <c r="P296" s="26"/>
    </row>
    <row r="297">
      <c r="A297" s="22"/>
      <c r="B297" s="22"/>
      <c r="C297" s="23"/>
      <c r="D297" s="23"/>
      <c r="E297" s="23"/>
      <c r="G297" s="24"/>
      <c r="H297" s="24"/>
      <c r="I297" s="25"/>
      <c r="J297" s="25"/>
      <c r="P297" s="26"/>
    </row>
    <row r="298">
      <c r="A298" s="22"/>
      <c r="B298" s="22"/>
      <c r="C298" s="23"/>
      <c r="D298" s="23"/>
      <c r="E298" s="23"/>
      <c r="G298" s="24"/>
      <c r="H298" s="24"/>
      <c r="I298" s="25"/>
      <c r="J298" s="25"/>
      <c r="P298" s="26"/>
    </row>
    <row r="299">
      <c r="A299" s="22"/>
      <c r="B299" s="22"/>
      <c r="C299" s="23"/>
      <c r="D299" s="23"/>
      <c r="E299" s="23"/>
      <c r="G299" s="24"/>
      <c r="H299" s="24"/>
      <c r="I299" s="25"/>
      <c r="J299" s="25"/>
      <c r="P299" s="26"/>
    </row>
    <row r="300">
      <c r="A300" s="22"/>
      <c r="B300" s="22"/>
      <c r="C300" s="23"/>
      <c r="D300" s="23"/>
      <c r="E300" s="23"/>
      <c r="G300" s="24"/>
      <c r="H300" s="24"/>
      <c r="I300" s="25"/>
      <c r="J300" s="25"/>
      <c r="P300" s="26"/>
    </row>
    <row r="301">
      <c r="A301" s="22"/>
      <c r="B301" s="22"/>
      <c r="C301" s="23"/>
      <c r="D301" s="23"/>
      <c r="E301" s="23"/>
      <c r="G301" s="24"/>
      <c r="H301" s="24"/>
      <c r="I301" s="25"/>
      <c r="J301" s="25"/>
      <c r="P301" s="26"/>
    </row>
    <row r="302">
      <c r="A302" s="22"/>
      <c r="B302" s="22"/>
      <c r="C302" s="23"/>
      <c r="D302" s="23"/>
      <c r="E302" s="23"/>
      <c r="G302" s="24"/>
      <c r="H302" s="24"/>
      <c r="I302" s="25"/>
      <c r="J302" s="25"/>
      <c r="P302" s="26"/>
    </row>
    <row r="303">
      <c r="A303" s="22"/>
      <c r="B303" s="22"/>
      <c r="C303" s="23"/>
      <c r="D303" s="23"/>
      <c r="E303" s="23"/>
      <c r="G303" s="24"/>
      <c r="H303" s="24"/>
      <c r="I303" s="25"/>
      <c r="J303" s="25"/>
      <c r="P303" s="26"/>
    </row>
    <row r="304">
      <c r="A304" s="22"/>
      <c r="B304" s="22"/>
      <c r="C304" s="23"/>
      <c r="D304" s="23"/>
      <c r="E304" s="23"/>
      <c r="G304" s="24"/>
      <c r="H304" s="24"/>
      <c r="I304" s="25"/>
      <c r="J304" s="25"/>
      <c r="P304" s="26"/>
    </row>
    <row r="305">
      <c r="A305" s="22"/>
      <c r="B305" s="22"/>
      <c r="C305" s="23"/>
      <c r="D305" s="23"/>
      <c r="E305" s="23"/>
      <c r="G305" s="24"/>
      <c r="H305" s="24"/>
      <c r="I305" s="25"/>
      <c r="J305" s="25"/>
      <c r="P305" s="26"/>
    </row>
    <row r="306">
      <c r="A306" s="22"/>
      <c r="B306" s="22"/>
      <c r="C306" s="23"/>
      <c r="D306" s="23"/>
      <c r="E306" s="23"/>
      <c r="G306" s="24"/>
      <c r="H306" s="24"/>
      <c r="I306" s="25"/>
      <c r="J306" s="25"/>
      <c r="P306" s="26"/>
    </row>
    <row r="307">
      <c r="A307" s="22"/>
      <c r="B307" s="22"/>
      <c r="C307" s="23"/>
      <c r="D307" s="23"/>
      <c r="E307" s="23"/>
      <c r="G307" s="24"/>
      <c r="H307" s="24"/>
      <c r="I307" s="25"/>
      <c r="J307" s="25"/>
      <c r="P307" s="26"/>
    </row>
    <row r="308">
      <c r="A308" s="22"/>
      <c r="B308" s="22"/>
      <c r="C308" s="23"/>
      <c r="D308" s="23"/>
      <c r="E308" s="23"/>
      <c r="G308" s="24"/>
      <c r="H308" s="24"/>
      <c r="I308" s="25"/>
      <c r="J308" s="25"/>
      <c r="P308" s="26"/>
    </row>
    <row r="309">
      <c r="A309" s="22"/>
      <c r="B309" s="22"/>
      <c r="C309" s="23"/>
      <c r="D309" s="23"/>
      <c r="E309" s="23"/>
      <c r="G309" s="24"/>
      <c r="H309" s="24"/>
      <c r="I309" s="25"/>
      <c r="J309" s="25"/>
      <c r="P309" s="26"/>
    </row>
    <row r="310">
      <c r="A310" s="22"/>
      <c r="B310" s="22"/>
      <c r="C310" s="23"/>
      <c r="D310" s="23"/>
      <c r="E310" s="23"/>
      <c r="G310" s="24"/>
      <c r="H310" s="24"/>
      <c r="I310" s="25"/>
      <c r="J310" s="25"/>
      <c r="P310" s="26"/>
    </row>
    <row r="311">
      <c r="A311" s="22"/>
      <c r="B311" s="22"/>
      <c r="C311" s="23"/>
      <c r="D311" s="23"/>
      <c r="E311" s="23"/>
      <c r="G311" s="24"/>
      <c r="H311" s="24"/>
      <c r="I311" s="25"/>
      <c r="J311" s="25"/>
      <c r="P311" s="26"/>
    </row>
    <row r="312">
      <c r="A312" s="22"/>
      <c r="B312" s="22"/>
      <c r="C312" s="23"/>
      <c r="D312" s="23"/>
      <c r="E312" s="23"/>
      <c r="G312" s="24"/>
      <c r="H312" s="24"/>
      <c r="I312" s="25"/>
      <c r="J312" s="25"/>
      <c r="P312" s="26"/>
    </row>
    <row r="313">
      <c r="A313" s="22"/>
      <c r="B313" s="22"/>
      <c r="C313" s="23"/>
      <c r="D313" s="23"/>
      <c r="E313" s="23"/>
      <c r="G313" s="24"/>
      <c r="H313" s="24"/>
      <c r="I313" s="25"/>
      <c r="J313" s="25"/>
      <c r="P313" s="26"/>
    </row>
    <row r="314">
      <c r="A314" s="22"/>
      <c r="B314" s="22"/>
      <c r="C314" s="23"/>
      <c r="D314" s="23"/>
      <c r="E314" s="23"/>
      <c r="G314" s="24"/>
      <c r="H314" s="24"/>
      <c r="I314" s="25"/>
      <c r="J314" s="25"/>
      <c r="P314" s="26"/>
    </row>
    <row r="315">
      <c r="A315" s="22"/>
      <c r="B315" s="22"/>
      <c r="C315" s="23"/>
      <c r="D315" s="23"/>
      <c r="E315" s="23"/>
      <c r="G315" s="24"/>
      <c r="H315" s="24"/>
      <c r="I315" s="25"/>
      <c r="J315" s="25"/>
      <c r="P315" s="26"/>
    </row>
    <row r="316">
      <c r="A316" s="22"/>
      <c r="B316" s="22"/>
      <c r="C316" s="23"/>
      <c r="D316" s="23"/>
      <c r="E316" s="23"/>
      <c r="G316" s="24"/>
      <c r="H316" s="24"/>
      <c r="I316" s="25"/>
      <c r="J316" s="25"/>
      <c r="P316" s="26"/>
    </row>
    <row r="317">
      <c r="A317" s="22"/>
      <c r="B317" s="22"/>
      <c r="C317" s="23"/>
      <c r="D317" s="23"/>
      <c r="E317" s="23"/>
      <c r="G317" s="24"/>
      <c r="H317" s="24"/>
      <c r="I317" s="25"/>
      <c r="J317" s="25"/>
      <c r="P317" s="26"/>
    </row>
    <row r="318">
      <c r="A318" s="22"/>
      <c r="B318" s="22"/>
      <c r="C318" s="23"/>
      <c r="D318" s="23"/>
      <c r="E318" s="23"/>
      <c r="G318" s="24"/>
      <c r="H318" s="24"/>
      <c r="I318" s="25"/>
      <c r="J318" s="25"/>
      <c r="P318" s="26"/>
    </row>
    <row r="319">
      <c r="A319" s="22"/>
      <c r="B319" s="22"/>
      <c r="C319" s="23"/>
      <c r="D319" s="23"/>
      <c r="E319" s="23"/>
      <c r="G319" s="24"/>
      <c r="H319" s="24"/>
      <c r="I319" s="25"/>
      <c r="J319" s="25"/>
      <c r="P319" s="26"/>
    </row>
    <row r="320">
      <c r="A320" s="22"/>
      <c r="B320" s="22"/>
      <c r="C320" s="23"/>
      <c r="D320" s="23"/>
      <c r="E320" s="23"/>
      <c r="G320" s="24"/>
      <c r="H320" s="24"/>
      <c r="I320" s="25"/>
      <c r="J320" s="25"/>
      <c r="P320" s="26"/>
    </row>
    <row r="321">
      <c r="A321" s="22"/>
      <c r="B321" s="22"/>
      <c r="C321" s="23"/>
      <c r="D321" s="23"/>
      <c r="E321" s="23"/>
      <c r="G321" s="24"/>
      <c r="H321" s="24"/>
      <c r="I321" s="25"/>
      <c r="J321" s="25"/>
      <c r="P321" s="26"/>
    </row>
    <row r="322">
      <c r="A322" s="22"/>
      <c r="B322" s="22"/>
      <c r="C322" s="23"/>
      <c r="D322" s="23"/>
      <c r="E322" s="23"/>
      <c r="G322" s="24"/>
      <c r="H322" s="24"/>
      <c r="I322" s="25"/>
      <c r="J322" s="25"/>
      <c r="P322" s="26"/>
    </row>
    <row r="323">
      <c r="A323" s="22"/>
      <c r="B323" s="22"/>
      <c r="C323" s="23"/>
      <c r="D323" s="23"/>
      <c r="E323" s="23"/>
      <c r="G323" s="24"/>
      <c r="H323" s="24"/>
      <c r="I323" s="25"/>
      <c r="J323" s="25"/>
      <c r="P323" s="26"/>
    </row>
    <row r="324">
      <c r="A324" s="22"/>
      <c r="B324" s="22"/>
      <c r="C324" s="23"/>
      <c r="D324" s="23"/>
      <c r="E324" s="23"/>
      <c r="G324" s="24"/>
      <c r="H324" s="24"/>
      <c r="I324" s="25"/>
      <c r="J324" s="25"/>
      <c r="P324" s="26"/>
    </row>
    <row r="325">
      <c r="A325" s="22"/>
      <c r="B325" s="22"/>
      <c r="C325" s="23"/>
      <c r="D325" s="23"/>
      <c r="E325" s="23"/>
      <c r="G325" s="24"/>
      <c r="H325" s="24"/>
      <c r="I325" s="25"/>
      <c r="J325" s="25"/>
      <c r="P325" s="26"/>
    </row>
    <row r="326">
      <c r="A326" s="22"/>
      <c r="B326" s="22"/>
      <c r="C326" s="23"/>
      <c r="D326" s="23"/>
      <c r="E326" s="23"/>
      <c r="G326" s="24"/>
      <c r="H326" s="24"/>
      <c r="I326" s="25"/>
      <c r="J326" s="25"/>
      <c r="P326" s="26"/>
    </row>
    <row r="327">
      <c r="A327" s="22"/>
      <c r="B327" s="22"/>
      <c r="C327" s="23"/>
      <c r="D327" s="23"/>
      <c r="E327" s="23"/>
      <c r="G327" s="24"/>
      <c r="H327" s="24"/>
      <c r="I327" s="25"/>
      <c r="J327" s="25"/>
      <c r="P327" s="26"/>
    </row>
    <row r="328">
      <c r="A328" s="22"/>
      <c r="B328" s="22"/>
      <c r="C328" s="23"/>
      <c r="D328" s="23"/>
      <c r="E328" s="23"/>
      <c r="G328" s="24"/>
      <c r="H328" s="24"/>
      <c r="I328" s="25"/>
      <c r="J328" s="25"/>
      <c r="P328" s="26"/>
    </row>
    <row r="329">
      <c r="A329" s="22"/>
      <c r="B329" s="22"/>
      <c r="C329" s="23"/>
      <c r="D329" s="23"/>
      <c r="E329" s="23"/>
      <c r="G329" s="24"/>
      <c r="H329" s="24"/>
      <c r="I329" s="25"/>
      <c r="J329" s="25"/>
      <c r="P329" s="26"/>
    </row>
    <row r="330">
      <c r="A330" s="22"/>
      <c r="B330" s="22"/>
      <c r="C330" s="23"/>
      <c r="D330" s="23"/>
      <c r="E330" s="23"/>
      <c r="G330" s="24"/>
      <c r="H330" s="24"/>
      <c r="I330" s="25"/>
      <c r="J330" s="25"/>
      <c r="P330" s="26"/>
    </row>
    <row r="331">
      <c r="A331" s="22"/>
      <c r="B331" s="22"/>
      <c r="C331" s="23"/>
      <c r="D331" s="23"/>
      <c r="E331" s="23"/>
      <c r="G331" s="24"/>
      <c r="H331" s="24"/>
      <c r="I331" s="25"/>
      <c r="J331" s="25"/>
      <c r="P331" s="26"/>
    </row>
    <row r="332">
      <c r="A332" s="22"/>
      <c r="B332" s="22"/>
      <c r="C332" s="23"/>
      <c r="D332" s="23"/>
      <c r="E332" s="23"/>
      <c r="G332" s="24"/>
      <c r="H332" s="24"/>
      <c r="I332" s="25"/>
      <c r="J332" s="25"/>
      <c r="P332" s="26"/>
    </row>
    <row r="333">
      <c r="A333" s="22"/>
      <c r="B333" s="22"/>
      <c r="C333" s="23"/>
      <c r="D333" s="23"/>
      <c r="E333" s="23"/>
      <c r="G333" s="24"/>
      <c r="H333" s="24"/>
      <c r="I333" s="25"/>
      <c r="J333" s="25"/>
      <c r="P333" s="26"/>
    </row>
    <row r="334">
      <c r="A334" s="22"/>
      <c r="B334" s="22"/>
      <c r="C334" s="23"/>
      <c r="D334" s="23"/>
      <c r="E334" s="23"/>
      <c r="G334" s="24"/>
      <c r="H334" s="24"/>
      <c r="I334" s="25"/>
      <c r="J334" s="25"/>
      <c r="P334" s="26"/>
    </row>
    <row r="335">
      <c r="A335" s="22"/>
      <c r="B335" s="22"/>
      <c r="C335" s="23"/>
      <c r="D335" s="23"/>
      <c r="E335" s="23"/>
      <c r="G335" s="24"/>
      <c r="H335" s="24"/>
      <c r="I335" s="25"/>
      <c r="J335" s="25"/>
      <c r="P335" s="26"/>
    </row>
    <row r="336">
      <c r="A336" s="22"/>
      <c r="B336" s="22"/>
      <c r="C336" s="23"/>
      <c r="D336" s="23"/>
      <c r="E336" s="23"/>
      <c r="G336" s="24"/>
      <c r="H336" s="24"/>
      <c r="I336" s="25"/>
      <c r="J336" s="25"/>
      <c r="P336" s="26"/>
    </row>
    <row r="337">
      <c r="A337" s="22"/>
      <c r="B337" s="22"/>
      <c r="C337" s="23"/>
      <c r="D337" s="23"/>
      <c r="E337" s="23"/>
      <c r="G337" s="24"/>
      <c r="H337" s="24"/>
      <c r="I337" s="25"/>
      <c r="J337" s="25"/>
      <c r="P337" s="26"/>
    </row>
    <row r="338">
      <c r="A338" s="22"/>
      <c r="B338" s="22"/>
      <c r="C338" s="23"/>
      <c r="D338" s="23"/>
      <c r="E338" s="23"/>
      <c r="G338" s="24"/>
      <c r="H338" s="24"/>
      <c r="I338" s="25"/>
      <c r="J338" s="25"/>
      <c r="P338" s="26"/>
    </row>
    <row r="339">
      <c r="A339" s="22"/>
      <c r="B339" s="22"/>
      <c r="C339" s="23"/>
      <c r="D339" s="23"/>
      <c r="E339" s="23"/>
      <c r="G339" s="24"/>
      <c r="H339" s="24"/>
      <c r="I339" s="25"/>
      <c r="J339" s="25"/>
      <c r="P339" s="26"/>
    </row>
    <row r="340">
      <c r="A340" s="22"/>
      <c r="B340" s="22"/>
      <c r="C340" s="23"/>
      <c r="D340" s="23"/>
      <c r="E340" s="23"/>
      <c r="G340" s="24"/>
      <c r="H340" s="24"/>
      <c r="I340" s="25"/>
      <c r="J340" s="25"/>
      <c r="P340" s="26"/>
    </row>
    <row r="341">
      <c r="A341" s="22"/>
      <c r="B341" s="22"/>
      <c r="C341" s="23"/>
      <c r="D341" s="23"/>
      <c r="E341" s="23"/>
      <c r="G341" s="24"/>
      <c r="H341" s="24"/>
      <c r="I341" s="25"/>
      <c r="J341" s="25"/>
      <c r="P341" s="26"/>
    </row>
    <row r="342">
      <c r="A342" s="22"/>
      <c r="B342" s="22"/>
      <c r="C342" s="23"/>
      <c r="D342" s="23"/>
      <c r="E342" s="23"/>
      <c r="G342" s="24"/>
      <c r="H342" s="24"/>
      <c r="I342" s="25"/>
      <c r="J342" s="25"/>
      <c r="P342" s="26"/>
    </row>
    <row r="343">
      <c r="A343" s="22"/>
      <c r="B343" s="22"/>
      <c r="C343" s="23"/>
      <c r="D343" s="23"/>
      <c r="E343" s="23"/>
      <c r="G343" s="24"/>
      <c r="H343" s="24"/>
      <c r="I343" s="25"/>
      <c r="J343" s="25"/>
      <c r="P343" s="26"/>
    </row>
    <row r="344">
      <c r="A344" s="22"/>
      <c r="B344" s="22"/>
      <c r="C344" s="23"/>
      <c r="D344" s="23"/>
      <c r="E344" s="23"/>
      <c r="G344" s="24"/>
      <c r="H344" s="24"/>
      <c r="I344" s="25"/>
      <c r="J344" s="25"/>
      <c r="P344" s="26"/>
    </row>
    <row r="345">
      <c r="A345" s="22"/>
      <c r="B345" s="22"/>
      <c r="C345" s="23"/>
      <c r="D345" s="23"/>
      <c r="E345" s="23"/>
      <c r="G345" s="24"/>
      <c r="H345" s="24"/>
      <c r="I345" s="25"/>
      <c r="J345" s="25"/>
      <c r="P345" s="26"/>
    </row>
    <row r="346">
      <c r="A346" s="22"/>
      <c r="B346" s="22"/>
      <c r="C346" s="23"/>
      <c r="D346" s="23"/>
      <c r="E346" s="23"/>
      <c r="G346" s="24"/>
      <c r="H346" s="24"/>
      <c r="I346" s="25"/>
      <c r="J346" s="25"/>
      <c r="P346" s="26"/>
    </row>
    <row r="347">
      <c r="A347" s="22"/>
      <c r="B347" s="22"/>
      <c r="C347" s="23"/>
      <c r="D347" s="23"/>
      <c r="E347" s="23"/>
      <c r="G347" s="24"/>
      <c r="H347" s="24"/>
      <c r="I347" s="25"/>
      <c r="J347" s="25"/>
      <c r="P347" s="26"/>
    </row>
    <row r="348">
      <c r="A348" s="22"/>
      <c r="B348" s="22"/>
      <c r="C348" s="23"/>
      <c r="D348" s="23"/>
      <c r="E348" s="23"/>
      <c r="G348" s="24"/>
      <c r="H348" s="24"/>
      <c r="I348" s="25"/>
      <c r="J348" s="25"/>
      <c r="P348" s="26"/>
    </row>
    <row r="349">
      <c r="A349" s="22"/>
      <c r="B349" s="22"/>
      <c r="C349" s="23"/>
      <c r="D349" s="23"/>
      <c r="E349" s="23"/>
      <c r="G349" s="24"/>
      <c r="H349" s="24"/>
      <c r="I349" s="25"/>
      <c r="J349" s="25"/>
      <c r="P349" s="26"/>
    </row>
    <row r="350">
      <c r="A350" s="22"/>
      <c r="B350" s="22"/>
      <c r="C350" s="23"/>
      <c r="D350" s="23"/>
      <c r="E350" s="23"/>
      <c r="G350" s="24"/>
      <c r="H350" s="24"/>
      <c r="I350" s="25"/>
      <c r="J350" s="25"/>
      <c r="P350" s="26"/>
    </row>
    <row r="351">
      <c r="A351" s="22"/>
      <c r="B351" s="22"/>
      <c r="C351" s="23"/>
      <c r="D351" s="23"/>
      <c r="E351" s="23"/>
      <c r="G351" s="24"/>
      <c r="H351" s="24"/>
      <c r="I351" s="25"/>
      <c r="J351" s="25"/>
      <c r="P351" s="26"/>
    </row>
    <row r="352">
      <c r="A352" s="22"/>
      <c r="B352" s="22"/>
      <c r="C352" s="23"/>
      <c r="D352" s="23"/>
      <c r="E352" s="23"/>
      <c r="G352" s="24"/>
      <c r="H352" s="24"/>
      <c r="I352" s="25"/>
      <c r="J352" s="25"/>
      <c r="P352" s="26"/>
    </row>
    <row r="353">
      <c r="A353" s="22"/>
      <c r="B353" s="22"/>
      <c r="C353" s="23"/>
      <c r="D353" s="23"/>
      <c r="E353" s="23"/>
      <c r="G353" s="24"/>
      <c r="H353" s="24"/>
      <c r="I353" s="25"/>
      <c r="J353" s="25"/>
      <c r="P353" s="26"/>
    </row>
    <row r="354">
      <c r="A354" s="22"/>
      <c r="B354" s="22"/>
      <c r="C354" s="23"/>
      <c r="D354" s="23"/>
      <c r="E354" s="23"/>
      <c r="G354" s="24"/>
      <c r="H354" s="24"/>
      <c r="I354" s="25"/>
      <c r="J354" s="25"/>
      <c r="P354" s="26"/>
    </row>
    <row r="355">
      <c r="A355" s="22"/>
      <c r="B355" s="22"/>
      <c r="C355" s="23"/>
      <c r="D355" s="23"/>
      <c r="E355" s="23"/>
      <c r="G355" s="24"/>
      <c r="H355" s="24"/>
      <c r="I355" s="25"/>
      <c r="J355" s="25"/>
      <c r="P355" s="26"/>
    </row>
    <row r="356">
      <c r="A356" s="22"/>
      <c r="B356" s="22"/>
      <c r="C356" s="23"/>
      <c r="D356" s="23"/>
      <c r="E356" s="23"/>
      <c r="G356" s="24"/>
      <c r="H356" s="24"/>
      <c r="I356" s="25"/>
      <c r="J356" s="25"/>
      <c r="P356" s="26"/>
    </row>
    <row r="357">
      <c r="A357" s="22"/>
      <c r="B357" s="22"/>
      <c r="C357" s="23"/>
      <c r="D357" s="23"/>
      <c r="E357" s="23"/>
      <c r="G357" s="24"/>
      <c r="H357" s="24"/>
      <c r="I357" s="25"/>
      <c r="J357" s="25"/>
      <c r="P357" s="26"/>
    </row>
    <row r="358">
      <c r="A358" s="22"/>
      <c r="B358" s="22"/>
      <c r="C358" s="23"/>
      <c r="D358" s="23"/>
      <c r="E358" s="23"/>
      <c r="G358" s="24"/>
      <c r="H358" s="24"/>
      <c r="I358" s="25"/>
      <c r="J358" s="25"/>
      <c r="P358" s="26"/>
    </row>
    <row r="359">
      <c r="A359" s="22"/>
      <c r="B359" s="22"/>
      <c r="C359" s="23"/>
      <c r="D359" s="23"/>
      <c r="E359" s="23"/>
      <c r="G359" s="24"/>
      <c r="H359" s="24"/>
      <c r="I359" s="25"/>
      <c r="J359" s="25"/>
      <c r="P359" s="26"/>
    </row>
    <row r="360">
      <c r="A360" s="22"/>
      <c r="B360" s="22"/>
      <c r="C360" s="23"/>
      <c r="D360" s="23"/>
      <c r="E360" s="23"/>
      <c r="G360" s="24"/>
      <c r="H360" s="24"/>
      <c r="I360" s="25"/>
      <c r="J360" s="25"/>
      <c r="P360" s="26"/>
    </row>
    <row r="361">
      <c r="A361" s="22"/>
      <c r="B361" s="22"/>
      <c r="C361" s="23"/>
      <c r="D361" s="23"/>
      <c r="E361" s="23"/>
      <c r="G361" s="24"/>
      <c r="H361" s="24"/>
      <c r="I361" s="25"/>
      <c r="J361" s="25"/>
      <c r="P361" s="26"/>
    </row>
    <row r="362">
      <c r="A362" s="22"/>
      <c r="B362" s="22"/>
      <c r="C362" s="23"/>
      <c r="D362" s="23"/>
      <c r="E362" s="23"/>
      <c r="G362" s="24"/>
      <c r="H362" s="24"/>
      <c r="I362" s="25"/>
      <c r="J362" s="25"/>
      <c r="P362" s="26"/>
    </row>
    <row r="363">
      <c r="A363" s="22"/>
      <c r="B363" s="22"/>
      <c r="C363" s="23"/>
      <c r="D363" s="23"/>
      <c r="E363" s="23"/>
      <c r="G363" s="24"/>
      <c r="H363" s="24"/>
      <c r="I363" s="25"/>
      <c r="J363" s="25"/>
      <c r="P363" s="26"/>
    </row>
    <row r="364">
      <c r="A364" s="22"/>
      <c r="B364" s="22"/>
      <c r="C364" s="23"/>
      <c r="D364" s="23"/>
      <c r="E364" s="23"/>
      <c r="G364" s="24"/>
      <c r="H364" s="24"/>
      <c r="I364" s="25"/>
      <c r="J364" s="25"/>
      <c r="P364" s="26"/>
    </row>
    <row r="365">
      <c r="A365" s="22"/>
      <c r="B365" s="22"/>
      <c r="C365" s="23"/>
      <c r="D365" s="23"/>
      <c r="E365" s="23"/>
      <c r="G365" s="24"/>
      <c r="H365" s="24"/>
      <c r="I365" s="25"/>
      <c r="J365" s="25"/>
      <c r="P365" s="26"/>
    </row>
    <row r="366">
      <c r="A366" s="22"/>
      <c r="B366" s="22"/>
      <c r="C366" s="23"/>
      <c r="D366" s="23"/>
      <c r="E366" s="23"/>
      <c r="G366" s="24"/>
      <c r="H366" s="24"/>
      <c r="I366" s="25"/>
      <c r="J366" s="25"/>
      <c r="P366" s="26"/>
    </row>
    <row r="367">
      <c r="A367" s="22"/>
      <c r="B367" s="22"/>
      <c r="C367" s="23"/>
      <c r="D367" s="23"/>
      <c r="E367" s="23"/>
      <c r="G367" s="24"/>
      <c r="H367" s="24"/>
      <c r="I367" s="25"/>
      <c r="J367" s="25"/>
      <c r="P367" s="26"/>
    </row>
    <row r="368">
      <c r="A368" s="22"/>
      <c r="B368" s="22"/>
      <c r="C368" s="23"/>
      <c r="D368" s="23"/>
      <c r="E368" s="23"/>
      <c r="G368" s="24"/>
      <c r="H368" s="24"/>
      <c r="I368" s="25"/>
      <c r="J368" s="25"/>
      <c r="P368" s="26"/>
    </row>
    <row r="369">
      <c r="A369" s="22"/>
      <c r="B369" s="22"/>
      <c r="C369" s="23"/>
      <c r="D369" s="23"/>
      <c r="E369" s="23"/>
      <c r="G369" s="24"/>
      <c r="H369" s="24"/>
      <c r="I369" s="25"/>
      <c r="J369" s="25"/>
      <c r="P369" s="26"/>
    </row>
    <row r="370">
      <c r="A370" s="22"/>
      <c r="B370" s="22"/>
      <c r="C370" s="23"/>
      <c r="D370" s="23"/>
      <c r="E370" s="23"/>
      <c r="G370" s="24"/>
      <c r="H370" s="24"/>
      <c r="I370" s="25"/>
      <c r="J370" s="25"/>
      <c r="P370" s="26"/>
    </row>
    <row r="371">
      <c r="A371" s="22"/>
      <c r="B371" s="22"/>
      <c r="C371" s="23"/>
      <c r="D371" s="23"/>
      <c r="E371" s="23"/>
      <c r="G371" s="24"/>
      <c r="H371" s="24"/>
      <c r="I371" s="25"/>
      <c r="J371" s="25"/>
      <c r="P371" s="26"/>
    </row>
    <row r="372">
      <c r="A372" s="22"/>
      <c r="B372" s="22"/>
      <c r="C372" s="23"/>
      <c r="D372" s="23"/>
      <c r="E372" s="23"/>
      <c r="G372" s="24"/>
      <c r="H372" s="24"/>
      <c r="I372" s="25"/>
      <c r="J372" s="25"/>
      <c r="P372" s="26"/>
    </row>
    <row r="373">
      <c r="A373" s="22"/>
      <c r="B373" s="22"/>
      <c r="C373" s="23"/>
      <c r="D373" s="23"/>
      <c r="E373" s="23"/>
      <c r="G373" s="24"/>
      <c r="H373" s="24"/>
      <c r="I373" s="25"/>
      <c r="J373" s="25"/>
      <c r="P373" s="26"/>
    </row>
    <row r="374">
      <c r="A374" s="22"/>
      <c r="B374" s="22"/>
      <c r="C374" s="23"/>
      <c r="D374" s="23"/>
      <c r="E374" s="23"/>
      <c r="G374" s="24"/>
      <c r="H374" s="24"/>
      <c r="I374" s="25"/>
      <c r="J374" s="25"/>
      <c r="P374" s="26"/>
    </row>
    <row r="375">
      <c r="A375" s="22"/>
      <c r="B375" s="22"/>
      <c r="C375" s="23"/>
      <c r="D375" s="23"/>
      <c r="E375" s="23"/>
      <c r="G375" s="24"/>
      <c r="H375" s="24"/>
      <c r="I375" s="25"/>
      <c r="J375" s="25"/>
      <c r="P375" s="26"/>
    </row>
    <row r="376">
      <c r="A376" s="22"/>
      <c r="B376" s="22"/>
      <c r="C376" s="23"/>
      <c r="D376" s="23"/>
      <c r="E376" s="23"/>
      <c r="G376" s="24"/>
      <c r="H376" s="24"/>
      <c r="I376" s="25"/>
      <c r="J376" s="25"/>
      <c r="P376" s="26"/>
    </row>
    <row r="377">
      <c r="A377" s="22"/>
      <c r="B377" s="22"/>
      <c r="C377" s="23"/>
      <c r="D377" s="23"/>
      <c r="E377" s="23"/>
      <c r="G377" s="24"/>
      <c r="H377" s="24"/>
      <c r="I377" s="25"/>
      <c r="J377" s="25"/>
      <c r="P377" s="26"/>
    </row>
    <row r="378">
      <c r="A378" s="22"/>
      <c r="B378" s="22"/>
      <c r="C378" s="23"/>
      <c r="D378" s="23"/>
      <c r="E378" s="23"/>
      <c r="G378" s="24"/>
      <c r="H378" s="24"/>
      <c r="I378" s="25"/>
      <c r="J378" s="25"/>
      <c r="P378" s="26"/>
    </row>
    <row r="379">
      <c r="A379" s="22"/>
      <c r="B379" s="22"/>
      <c r="C379" s="23"/>
      <c r="D379" s="23"/>
      <c r="E379" s="23"/>
      <c r="G379" s="24"/>
      <c r="H379" s="24"/>
      <c r="I379" s="25"/>
      <c r="J379" s="25"/>
      <c r="P379" s="26"/>
    </row>
    <row r="380">
      <c r="A380" s="22"/>
      <c r="B380" s="22"/>
      <c r="C380" s="23"/>
      <c r="D380" s="23"/>
      <c r="E380" s="23"/>
      <c r="G380" s="24"/>
      <c r="H380" s="24"/>
      <c r="I380" s="25"/>
      <c r="J380" s="25"/>
      <c r="P380" s="26"/>
    </row>
    <row r="381">
      <c r="A381" s="22"/>
      <c r="B381" s="22"/>
      <c r="C381" s="23"/>
      <c r="D381" s="23"/>
      <c r="E381" s="23"/>
      <c r="G381" s="24"/>
      <c r="H381" s="24"/>
      <c r="I381" s="25"/>
      <c r="J381" s="25"/>
      <c r="P381" s="26"/>
    </row>
    <row r="382">
      <c r="A382" s="22"/>
      <c r="B382" s="22"/>
      <c r="C382" s="23"/>
      <c r="D382" s="23"/>
      <c r="E382" s="23"/>
      <c r="G382" s="24"/>
      <c r="H382" s="24"/>
      <c r="I382" s="25"/>
      <c r="J382" s="25"/>
      <c r="P382" s="26"/>
    </row>
    <row r="383">
      <c r="A383" s="22"/>
      <c r="B383" s="22"/>
      <c r="C383" s="23"/>
      <c r="D383" s="23"/>
      <c r="E383" s="23"/>
      <c r="G383" s="24"/>
      <c r="H383" s="24"/>
      <c r="I383" s="25"/>
      <c r="J383" s="25"/>
      <c r="P383" s="26"/>
    </row>
    <row r="384">
      <c r="A384" s="22"/>
      <c r="B384" s="22"/>
      <c r="C384" s="23"/>
      <c r="D384" s="23"/>
      <c r="E384" s="23"/>
      <c r="G384" s="24"/>
      <c r="H384" s="24"/>
      <c r="I384" s="25"/>
      <c r="J384" s="25"/>
      <c r="P384" s="26"/>
    </row>
    <row r="385">
      <c r="A385" s="22"/>
      <c r="B385" s="22"/>
      <c r="C385" s="23"/>
      <c r="D385" s="23"/>
      <c r="E385" s="23"/>
      <c r="G385" s="24"/>
      <c r="H385" s="24"/>
      <c r="I385" s="25"/>
      <c r="J385" s="25"/>
      <c r="P385" s="26"/>
    </row>
    <row r="386">
      <c r="A386" s="22"/>
      <c r="B386" s="22"/>
      <c r="C386" s="23"/>
      <c r="D386" s="23"/>
      <c r="E386" s="23"/>
      <c r="G386" s="24"/>
      <c r="H386" s="24"/>
      <c r="I386" s="25"/>
      <c r="J386" s="25"/>
      <c r="P386" s="26"/>
    </row>
    <row r="387">
      <c r="A387" s="22"/>
      <c r="B387" s="22"/>
      <c r="C387" s="23"/>
      <c r="D387" s="23"/>
      <c r="E387" s="23"/>
      <c r="G387" s="24"/>
      <c r="H387" s="24"/>
      <c r="I387" s="25"/>
      <c r="J387" s="25"/>
      <c r="P387" s="26"/>
    </row>
    <row r="388">
      <c r="A388" s="22"/>
      <c r="B388" s="22"/>
      <c r="C388" s="23"/>
      <c r="D388" s="23"/>
      <c r="E388" s="23"/>
      <c r="G388" s="24"/>
      <c r="H388" s="24"/>
      <c r="I388" s="25"/>
      <c r="J388" s="25"/>
      <c r="P388" s="26"/>
    </row>
    <row r="389">
      <c r="A389" s="22"/>
      <c r="B389" s="22"/>
      <c r="C389" s="23"/>
      <c r="D389" s="23"/>
      <c r="E389" s="23"/>
      <c r="G389" s="24"/>
      <c r="H389" s="24"/>
      <c r="I389" s="25"/>
      <c r="J389" s="25"/>
      <c r="P389" s="26"/>
    </row>
    <row r="390">
      <c r="A390" s="22"/>
      <c r="B390" s="22"/>
      <c r="C390" s="23"/>
      <c r="D390" s="23"/>
      <c r="E390" s="23"/>
      <c r="G390" s="24"/>
      <c r="H390" s="24"/>
      <c r="I390" s="25"/>
      <c r="J390" s="25"/>
      <c r="P390" s="26"/>
    </row>
    <row r="391">
      <c r="A391" s="22"/>
      <c r="B391" s="22"/>
      <c r="C391" s="23"/>
      <c r="D391" s="23"/>
      <c r="E391" s="23"/>
      <c r="G391" s="24"/>
      <c r="H391" s="24"/>
      <c r="I391" s="25"/>
      <c r="J391" s="25"/>
      <c r="P391" s="26"/>
    </row>
    <row r="392">
      <c r="A392" s="22"/>
      <c r="B392" s="22"/>
      <c r="C392" s="23"/>
      <c r="D392" s="23"/>
      <c r="E392" s="23"/>
      <c r="G392" s="24"/>
      <c r="H392" s="24"/>
      <c r="I392" s="25"/>
      <c r="J392" s="25"/>
      <c r="P392" s="26"/>
    </row>
    <row r="393">
      <c r="A393" s="22"/>
      <c r="B393" s="22"/>
      <c r="C393" s="23"/>
      <c r="D393" s="23"/>
      <c r="E393" s="23"/>
      <c r="G393" s="24"/>
      <c r="H393" s="24"/>
      <c r="I393" s="25"/>
      <c r="J393" s="25"/>
      <c r="P393" s="26"/>
    </row>
    <row r="394">
      <c r="A394" s="22"/>
      <c r="B394" s="22"/>
      <c r="C394" s="23"/>
      <c r="D394" s="23"/>
      <c r="E394" s="23"/>
      <c r="G394" s="24"/>
      <c r="H394" s="24"/>
      <c r="I394" s="25"/>
      <c r="J394" s="25"/>
      <c r="P394" s="26"/>
    </row>
    <row r="395">
      <c r="A395" s="22"/>
      <c r="B395" s="22"/>
      <c r="C395" s="23"/>
      <c r="D395" s="23"/>
      <c r="E395" s="23"/>
      <c r="G395" s="24"/>
      <c r="H395" s="24"/>
      <c r="I395" s="25"/>
      <c r="J395" s="25"/>
      <c r="P395" s="26"/>
    </row>
    <row r="396">
      <c r="A396" s="22"/>
      <c r="B396" s="22"/>
      <c r="C396" s="23"/>
      <c r="D396" s="23"/>
      <c r="E396" s="23"/>
      <c r="G396" s="24"/>
      <c r="H396" s="24"/>
      <c r="I396" s="25"/>
      <c r="J396" s="25"/>
      <c r="P396" s="26"/>
    </row>
    <row r="397">
      <c r="A397" s="22"/>
      <c r="B397" s="22"/>
      <c r="C397" s="23"/>
      <c r="D397" s="23"/>
      <c r="E397" s="23"/>
      <c r="G397" s="24"/>
      <c r="H397" s="24"/>
      <c r="I397" s="25"/>
      <c r="J397" s="25"/>
      <c r="P397" s="26"/>
    </row>
    <row r="398">
      <c r="A398" s="22"/>
      <c r="B398" s="22"/>
      <c r="C398" s="23"/>
      <c r="D398" s="23"/>
      <c r="E398" s="23"/>
      <c r="G398" s="24"/>
      <c r="H398" s="24"/>
      <c r="I398" s="25"/>
      <c r="J398" s="25"/>
      <c r="P398" s="26"/>
    </row>
    <row r="399">
      <c r="A399" s="22"/>
      <c r="B399" s="22"/>
      <c r="C399" s="23"/>
      <c r="D399" s="23"/>
      <c r="E399" s="23"/>
      <c r="G399" s="24"/>
      <c r="H399" s="24"/>
      <c r="I399" s="25"/>
      <c r="J399" s="25"/>
      <c r="P399" s="26"/>
    </row>
    <row r="400">
      <c r="A400" s="22"/>
      <c r="B400" s="22"/>
      <c r="C400" s="23"/>
      <c r="D400" s="23"/>
      <c r="E400" s="23"/>
      <c r="G400" s="24"/>
      <c r="H400" s="24"/>
      <c r="I400" s="25"/>
      <c r="J400" s="25"/>
      <c r="P400" s="26"/>
    </row>
    <row r="401">
      <c r="A401" s="22"/>
      <c r="B401" s="22"/>
      <c r="C401" s="23"/>
      <c r="D401" s="23"/>
      <c r="E401" s="23"/>
      <c r="G401" s="24"/>
      <c r="H401" s="24"/>
      <c r="I401" s="25"/>
      <c r="J401" s="25"/>
      <c r="P401" s="26"/>
    </row>
    <row r="402">
      <c r="A402" s="22"/>
      <c r="B402" s="22"/>
      <c r="C402" s="23"/>
      <c r="D402" s="23"/>
      <c r="E402" s="23"/>
      <c r="G402" s="24"/>
      <c r="H402" s="24"/>
      <c r="I402" s="25"/>
      <c r="J402" s="25"/>
      <c r="P402" s="26"/>
    </row>
    <row r="403">
      <c r="A403" s="22"/>
      <c r="B403" s="22"/>
      <c r="C403" s="23"/>
      <c r="D403" s="23"/>
      <c r="E403" s="23"/>
      <c r="G403" s="24"/>
      <c r="H403" s="24"/>
      <c r="I403" s="25"/>
      <c r="J403" s="25"/>
      <c r="P403" s="26"/>
    </row>
    <row r="404">
      <c r="A404" s="22"/>
      <c r="B404" s="22"/>
      <c r="C404" s="23"/>
      <c r="D404" s="23"/>
      <c r="E404" s="23"/>
      <c r="G404" s="24"/>
      <c r="H404" s="24"/>
      <c r="I404" s="25"/>
      <c r="J404" s="25"/>
      <c r="P404" s="26"/>
    </row>
    <row r="405">
      <c r="A405" s="22"/>
      <c r="B405" s="22"/>
      <c r="C405" s="23"/>
      <c r="D405" s="23"/>
      <c r="E405" s="23"/>
      <c r="G405" s="24"/>
      <c r="H405" s="24"/>
      <c r="I405" s="25"/>
      <c r="J405" s="25"/>
      <c r="P405" s="26"/>
    </row>
    <row r="406">
      <c r="A406" s="22"/>
      <c r="B406" s="22"/>
      <c r="C406" s="23"/>
      <c r="D406" s="23"/>
      <c r="E406" s="23"/>
      <c r="G406" s="24"/>
      <c r="H406" s="24"/>
      <c r="I406" s="25"/>
      <c r="J406" s="25"/>
      <c r="P406" s="26"/>
    </row>
    <row r="407">
      <c r="A407" s="22"/>
      <c r="B407" s="22"/>
      <c r="C407" s="23"/>
      <c r="D407" s="23"/>
      <c r="E407" s="23"/>
      <c r="G407" s="24"/>
      <c r="H407" s="24"/>
      <c r="I407" s="25"/>
      <c r="J407" s="25"/>
      <c r="P407" s="26"/>
    </row>
    <row r="408">
      <c r="A408" s="22"/>
      <c r="B408" s="22"/>
      <c r="C408" s="23"/>
      <c r="D408" s="23"/>
      <c r="E408" s="23"/>
      <c r="G408" s="24"/>
      <c r="H408" s="24"/>
      <c r="I408" s="25"/>
      <c r="J408" s="25"/>
      <c r="P408" s="26"/>
    </row>
    <row r="409">
      <c r="A409" s="22"/>
      <c r="B409" s="22"/>
      <c r="C409" s="23"/>
      <c r="D409" s="23"/>
      <c r="E409" s="23"/>
      <c r="G409" s="24"/>
      <c r="H409" s="24"/>
      <c r="I409" s="25"/>
      <c r="J409" s="25"/>
      <c r="P409" s="26"/>
    </row>
    <row r="410">
      <c r="A410" s="22"/>
      <c r="B410" s="22"/>
      <c r="C410" s="23"/>
      <c r="D410" s="23"/>
      <c r="E410" s="23"/>
      <c r="G410" s="24"/>
      <c r="H410" s="24"/>
      <c r="I410" s="25"/>
      <c r="J410" s="25"/>
      <c r="P410" s="26"/>
    </row>
    <row r="411">
      <c r="A411" s="22"/>
      <c r="B411" s="22"/>
      <c r="C411" s="23"/>
      <c r="D411" s="23"/>
      <c r="E411" s="23"/>
      <c r="G411" s="24"/>
      <c r="H411" s="24"/>
      <c r="I411" s="25"/>
      <c r="J411" s="25"/>
      <c r="P411" s="26"/>
    </row>
    <row r="412">
      <c r="A412" s="22"/>
      <c r="B412" s="22"/>
      <c r="C412" s="23"/>
      <c r="D412" s="23"/>
      <c r="E412" s="23"/>
      <c r="G412" s="24"/>
      <c r="H412" s="24"/>
      <c r="I412" s="25"/>
      <c r="J412" s="25"/>
      <c r="P412" s="26"/>
    </row>
    <row r="413">
      <c r="A413" s="22"/>
      <c r="B413" s="22"/>
      <c r="C413" s="23"/>
      <c r="D413" s="23"/>
      <c r="E413" s="23"/>
      <c r="G413" s="24"/>
      <c r="H413" s="24"/>
      <c r="I413" s="25"/>
      <c r="J413" s="25"/>
      <c r="P413" s="26"/>
    </row>
    <row r="414">
      <c r="A414" s="22"/>
      <c r="B414" s="22"/>
      <c r="C414" s="23"/>
      <c r="D414" s="23"/>
      <c r="E414" s="23"/>
      <c r="G414" s="24"/>
      <c r="H414" s="24"/>
      <c r="I414" s="25"/>
      <c r="J414" s="25"/>
      <c r="P414" s="26"/>
    </row>
    <row r="415">
      <c r="A415" s="22"/>
      <c r="B415" s="22"/>
      <c r="C415" s="23"/>
      <c r="D415" s="23"/>
      <c r="E415" s="23"/>
      <c r="G415" s="24"/>
      <c r="H415" s="24"/>
      <c r="I415" s="25"/>
      <c r="J415" s="25"/>
      <c r="P415" s="26"/>
    </row>
    <row r="416">
      <c r="A416" s="22"/>
      <c r="B416" s="22"/>
      <c r="C416" s="23"/>
      <c r="D416" s="23"/>
      <c r="E416" s="23"/>
      <c r="G416" s="24"/>
      <c r="H416" s="24"/>
      <c r="I416" s="25"/>
      <c r="J416" s="25"/>
      <c r="P416" s="26"/>
    </row>
    <row r="417">
      <c r="A417" s="22"/>
      <c r="B417" s="22"/>
      <c r="C417" s="23"/>
      <c r="D417" s="23"/>
      <c r="E417" s="23"/>
      <c r="G417" s="24"/>
      <c r="H417" s="24"/>
      <c r="I417" s="25"/>
      <c r="J417" s="25"/>
      <c r="P417" s="26"/>
    </row>
    <row r="418">
      <c r="A418" s="22"/>
      <c r="B418" s="22"/>
      <c r="C418" s="23"/>
      <c r="D418" s="23"/>
      <c r="E418" s="23"/>
      <c r="G418" s="24"/>
      <c r="H418" s="24"/>
      <c r="I418" s="25"/>
      <c r="J418" s="25"/>
      <c r="P418" s="26"/>
    </row>
    <row r="419">
      <c r="A419" s="22"/>
      <c r="B419" s="22"/>
      <c r="C419" s="23"/>
      <c r="D419" s="23"/>
      <c r="E419" s="23"/>
      <c r="G419" s="24"/>
      <c r="H419" s="24"/>
      <c r="I419" s="25"/>
      <c r="J419" s="25"/>
      <c r="P419" s="26"/>
    </row>
    <row r="420">
      <c r="A420" s="22"/>
      <c r="B420" s="22"/>
      <c r="C420" s="23"/>
      <c r="D420" s="23"/>
      <c r="E420" s="23"/>
      <c r="G420" s="24"/>
      <c r="H420" s="24"/>
      <c r="I420" s="25"/>
      <c r="J420" s="25"/>
      <c r="P420" s="26"/>
    </row>
    <row r="421">
      <c r="A421" s="22"/>
      <c r="B421" s="22"/>
      <c r="C421" s="23"/>
      <c r="D421" s="23"/>
      <c r="E421" s="23"/>
      <c r="G421" s="24"/>
      <c r="H421" s="24"/>
      <c r="I421" s="25"/>
      <c r="J421" s="25"/>
      <c r="P421" s="26"/>
    </row>
    <row r="422">
      <c r="A422" s="22"/>
      <c r="B422" s="22"/>
      <c r="C422" s="23"/>
      <c r="D422" s="23"/>
      <c r="E422" s="23"/>
      <c r="G422" s="24"/>
      <c r="H422" s="24"/>
      <c r="I422" s="25"/>
      <c r="J422" s="25"/>
      <c r="P422" s="26"/>
    </row>
    <row r="423">
      <c r="A423" s="22"/>
      <c r="B423" s="22"/>
      <c r="C423" s="23"/>
      <c r="D423" s="23"/>
      <c r="E423" s="23"/>
      <c r="G423" s="24"/>
      <c r="H423" s="24"/>
      <c r="I423" s="25"/>
      <c r="J423" s="25"/>
      <c r="P423" s="26"/>
    </row>
    <row r="424">
      <c r="A424" s="22"/>
      <c r="B424" s="22"/>
      <c r="C424" s="23"/>
      <c r="D424" s="23"/>
      <c r="E424" s="23"/>
      <c r="G424" s="24"/>
      <c r="H424" s="24"/>
      <c r="I424" s="25"/>
      <c r="J424" s="25"/>
      <c r="P424" s="26"/>
    </row>
    <row r="425">
      <c r="A425" s="22"/>
      <c r="B425" s="22"/>
      <c r="C425" s="23"/>
      <c r="D425" s="23"/>
      <c r="E425" s="23"/>
      <c r="G425" s="24"/>
      <c r="H425" s="24"/>
      <c r="I425" s="25"/>
      <c r="J425" s="25"/>
      <c r="P425" s="26"/>
    </row>
    <row r="426">
      <c r="A426" s="22"/>
      <c r="B426" s="22"/>
      <c r="C426" s="23"/>
      <c r="D426" s="23"/>
      <c r="E426" s="23"/>
      <c r="G426" s="24"/>
      <c r="H426" s="24"/>
      <c r="I426" s="25"/>
      <c r="J426" s="25"/>
      <c r="P426" s="26"/>
    </row>
    <row r="427">
      <c r="A427" s="22"/>
      <c r="B427" s="22"/>
      <c r="C427" s="23"/>
      <c r="D427" s="23"/>
      <c r="E427" s="23"/>
      <c r="G427" s="24"/>
      <c r="H427" s="24"/>
      <c r="I427" s="25"/>
      <c r="J427" s="25"/>
      <c r="P427" s="26"/>
    </row>
    <row r="428">
      <c r="A428" s="22"/>
      <c r="B428" s="22"/>
      <c r="C428" s="23"/>
      <c r="D428" s="23"/>
      <c r="E428" s="23"/>
      <c r="G428" s="24"/>
      <c r="H428" s="24"/>
      <c r="I428" s="25"/>
      <c r="J428" s="25"/>
      <c r="P428" s="26"/>
    </row>
    <row r="429">
      <c r="A429" s="22"/>
      <c r="B429" s="22"/>
      <c r="C429" s="23"/>
      <c r="D429" s="23"/>
      <c r="E429" s="23"/>
      <c r="G429" s="24"/>
      <c r="H429" s="24"/>
      <c r="I429" s="25"/>
      <c r="J429" s="25"/>
      <c r="P429" s="26"/>
    </row>
    <row r="430">
      <c r="A430" s="22"/>
      <c r="B430" s="22"/>
      <c r="C430" s="23"/>
      <c r="D430" s="23"/>
      <c r="E430" s="23"/>
      <c r="G430" s="24"/>
      <c r="H430" s="24"/>
      <c r="I430" s="25"/>
      <c r="J430" s="25"/>
      <c r="P430" s="26"/>
    </row>
    <row r="431">
      <c r="A431" s="22"/>
      <c r="B431" s="22"/>
      <c r="C431" s="23"/>
      <c r="D431" s="23"/>
      <c r="E431" s="23"/>
      <c r="G431" s="24"/>
      <c r="H431" s="24"/>
      <c r="I431" s="25"/>
      <c r="J431" s="25"/>
      <c r="P431" s="26"/>
    </row>
    <row r="432">
      <c r="A432" s="22"/>
      <c r="B432" s="22"/>
      <c r="C432" s="23"/>
      <c r="D432" s="23"/>
      <c r="E432" s="23"/>
      <c r="G432" s="24"/>
      <c r="H432" s="24"/>
      <c r="I432" s="25"/>
      <c r="J432" s="25"/>
      <c r="P432" s="26"/>
    </row>
    <row r="433">
      <c r="A433" s="22"/>
      <c r="B433" s="22"/>
      <c r="C433" s="23"/>
      <c r="D433" s="23"/>
      <c r="E433" s="23"/>
      <c r="G433" s="24"/>
      <c r="H433" s="24"/>
      <c r="I433" s="25"/>
      <c r="J433" s="25"/>
      <c r="P433" s="26"/>
    </row>
    <row r="434">
      <c r="A434" s="22"/>
      <c r="B434" s="22"/>
      <c r="C434" s="23"/>
      <c r="D434" s="23"/>
      <c r="E434" s="23"/>
      <c r="G434" s="24"/>
      <c r="H434" s="24"/>
      <c r="I434" s="25"/>
      <c r="J434" s="25"/>
      <c r="P434" s="26"/>
    </row>
    <row r="435">
      <c r="A435" s="22"/>
      <c r="B435" s="22"/>
      <c r="C435" s="23"/>
      <c r="D435" s="23"/>
      <c r="E435" s="23"/>
      <c r="G435" s="24"/>
      <c r="H435" s="24"/>
      <c r="I435" s="25"/>
      <c r="J435" s="25"/>
      <c r="P435" s="26"/>
    </row>
    <row r="436">
      <c r="A436" s="22"/>
      <c r="B436" s="22"/>
      <c r="C436" s="23"/>
      <c r="D436" s="23"/>
      <c r="E436" s="23"/>
      <c r="G436" s="24"/>
      <c r="H436" s="24"/>
      <c r="I436" s="25"/>
      <c r="J436" s="25"/>
      <c r="P436" s="26"/>
    </row>
    <row r="437">
      <c r="A437" s="22"/>
      <c r="B437" s="22"/>
      <c r="C437" s="23"/>
      <c r="D437" s="23"/>
      <c r="E437" s="23"/>
      <c r="G437" s="24"/>
      <c r="H437" s="24"/>
      <c r="I437" s="25"/>
      <c r="J437" s="25"/>
      <c r="P437" s="26"/>
    </row>
    <row r="438">
      <c r="A438" s="22"/>
      <c r="B438" s="22"/>
      <c r="C438" s="23"/>
      <c r="D438" s="23"/>
      <c r="E438" s="23"/>
      <c r="G438" s="24"/>
      <c r="H438" s="24"/>
      <c r="I438" s="25"/>
      <c r="J438" s="25"/>
      <c r="P438" s="26"/>
    </row>
    <row r="439">
      <c r="A439" s="22"/>
      <c r="B439" s="22"/>
      <c r="C439" s="23"/>
      <c r="D439" s="23"/>
      <c r="E439" s="23"/>
      <c r="G439" s="24"/>
      <c r="H439" s="24"/>
      <c r="I439" s="25"/>
      <c r="J439" s="25"/>
      <c r="P439" s="26"/>
    </row>
    <row r="440">
      <c r="A440" s="22"/>
      <c r="B440" s="22"/>
      <c r="C440" s="23"/>
      <c r="D440" s="23"/>
      <c r="E440" s="23"/>
      <c r="G440" s="24"/>
      <c r="H440" s="24"/>
      <c r="I440" s="25"/>
      <c r="J440" s="25"/>
      <c r="P440" s="26"/>
    </row>
    <row r="441">
      <c r="A441" s="22"/>
      <c r="B441" s="22"/>
      <c r="C441" s="23"/>
      <c r="D441" s="23"/>
      <c r="E441" s="23"/>
      <c r="G441" s="24"/>
      <c r="H441" s="24"/>
      <c r="I441" s="25"/>
      <c r="J441" s="25"/>
      <c r="P441" s="26"/>
    </row>
    <row r="442">
      <c r="A442" s="22"/>
      <c r="B442" s="22"/>
      <c r="C442" s="23"/>
      <c r="D442" s="23"/>
      <c r="E442" s="23"/>
      <c r="G442" s="24"/>
      <c r="H442" s="24"/>
      <c r="I442" s="25"/>
      <c r="J442" s="25"/>
      <c r="P442" s="26"/>
    </row>
    <row r="443">
      <c r="A443" s="22"/>
      <c r="B443" s="22"/>
      <c r="C443" s="23"/>
      <c r="D443" s="23"/>
      <c r="E443" s="23"/>
      <c r="G443" s="24"/>
      <c r="H443" s="24"/>
      <c r="I443" s="25"/>
      <c r="J443" s="25"/>
      <c r="P443" s="26"/>
    </row>
    <row r="444">
      <c r="A444" s="22"/>
      <c r="B444" s="22"/>
      <c r="C444" s="23"/>
      <c r="D444" s="23"/>
      <c r="E444" s="23"/>
      <c r="G444" s="24"/>
      <c r="H444" s="24"/>
      <c r="I444" s="25"/>
      <c r="J444" s="25"/>
      <c r="P444" s="26"/>
    </row>
    <row r="445">
      <c r="A445" s="22"/>
      <c r="B445" s="22"/>
      <c r="C445" s="23"/>
      <c r="D445" s="23"/>
      <c r="E445" s="23"/>
      <c r="G445" s="24"/>
      <c r="H445" s="24"/>
      <c r="I445" s="25"/>
      <c r="J445" s="25"/>
      <c r="P445" s="26"/>
    </row>
    <row r="446">
      <c r="A446" s="22"/>
      <c r="B446" s="22"/>
      <c r="C446" s="23"/>
      <c r="D446" s="23"/>
      <c r="E446" s="23"/>
      <c r="G446" s="24"/>
      <c r="H446" s="24"/>
      <c r="I446" s="25"/>
      <c r="J446" s="25"/>
      <c r="P446" s="26"/>
    </row>
    <row r="447">
      <c r="A447" s="22"/>
      <c r="B447" s="22"/>
      <c r="C447" s="23"/>
      <c r="D447" s="23"/>
      <c r="E447" s="23"/>
      <c r="G447" s="24"/>
      <c r="H447" s="24"/>
      <c r="I447" s="25"/>
      <c r="J447" s="25"/>
      <c r="P447" s="26"/>
    </row>
    <row r="448">
      <c r="A448" s="22"/>
      <c r="B448" s="22"/>
      <c r="C448" s="23"/>
      <c r="D448" s="23"/>
      <c r="E448" s="23"/>
      <c r="G448" s="24"/>
      <c r="H448" s="24"/>
      <c r="I448" s="25"/>
      <c r="J448" s="25"/>
      <c r="P448" s="26"/>
    </row>
    <row r="449">
      <c r="A449" s="22"/>
      <c r="B449" s="22"/>
      <c r="C449" s="23"/>
      <c r="D449" s="23"/>
      <c r="E449" s="23"/>
      <c r="G449" s="24"/>
      <c r="H449" s="24"/>
      <c r="I449" s="25"/>
      <c r="J449" s="25"/>
      <c r="P449" s="26"/>
    </row>
    <row r="450">
      <c r="A450" s="22"/>
      <c r="B450" s="22"/>
      <c r="C450" s="23"/>
      <c r="D450" s="23"/>
      <c r="E450" s="23"/>
      <c r="G450" s="24"/>
      <c r="H450" s="24"/>
      <c r="I450" s="25"/>
      <c r="J450" s="25"/>
      <c r="P450" s="26"/>
    </row>
    <row r="451">
      <c r="A451" s="22"/>
      <c r="B451" s="22"/>
      <c r="C451" s="23"/>
      <c r="D451" s="23"/>
      <c r="E451" s="23"/>
      <c r="G451" s="24"/>
      <c r="H451" s="24"/>
      <c r="I451" s="25"/>
      <c r="J451" s="25"/>
      <c r="P451" s="26"/>
    </row>
    <row r="452">
      <c r="A452" s="22"/>
      <c r="B452" s="22"/>
      <c r="C452" s="23"/>
      <c r="D452" s="23"/>
      <c r="E452" s="23"/>
      <c r="G452" s="24"/>
      <c r="H452" s="24"/>
      <c r="I452" s="25"/>
      <c r="J452" s="25"/>
      <c r="P452" s="26"/>
    </row>
    <row r="453">
      <c r="A453" s="22"/>
      <c r="B453" s="22"/>
      <c r="C453" s="23"/>
      <c r="D453" s="23"/>
      <c r="E453" s="23"/>
      <c r="G453" s="24"/>
      <c r="H453" s="24"/>
      <c r="I453" s="25"/>
      <c r="J453" s="25"/>
      <c r="P453" s="26"/>
    </row>
    <row r="454">
      <c r="A454" s="22"/>
      <c r="B454" s="22"/>
      <c r="C454" s="23"/>
      <c r="D454" s="23"/>
      <c r="E454" s="23"/>
      <c r="G454" s="24"/>
      <c r="H454" s="24"/>
      <c r="I454" s="25"/>
      <c r="J454" s="25"/>
      <c r="P454" s="26"/>
    </row>
    <row r="455">
      <c r="A455" s="22"/>
      <c r="B455" s="22"/>
      <c r="C455" s="23"/>
      <c r="D455" s="23"/>
      <c r="E455" s="23"/>
      <c r="G455" s="24"/>
      <c r="H455" s="24"/>
      <c r="I455" s="25"/>
      <c r="J455" s="25"/>
      <c r="P455" s="26"/>
    </row>
    <row r="456">
      <c r="A456" s="22"/>
      <c r="B456" s="22"/>
      <c r="C456" s="23"/>
      <c r="D456" s="23"/>
      <c r="E456" s="23"/>
      <c r="G456" s="24"/>
      <c r="H456" s="24"/>
      <c r="I456" s="25"/>
      <c r="J456" s="25"/>
      <c r="P456" s="26"/>
    </row>
    <row r="457">
      <c r="A457" s="22"/>
      <c r="B457" s="22"/>
      <c r="C457" s="23"/>
      <c r="D457" s="23"/>
      <c r="E457" s="23"/>
      <c r="G457" s="24"/>
      <c r="H457" s="24"/>
      <c r="I457" s="25"/>
      <c r="J457" s="25"/>
      <c r="P457" s="26"/>
    </row>
    <row r="458">
      <c r="A458" s="22"/>
      <c r="B458" s="22"/>
      <c r="C458" s="23"/>
      <c r="D458" s="23"/>
      <c r="E458" s="23"/>
      <c r="G458" s="24"/>
      <c r="H458" s="24"/>
      <c r="I458" s="25"/>
      <c r="J458" s="25"/>
      <c r="P458" s="26"/>
    </row>
    <row r="459">
      <c r="A459" s="22"/>
      <c r="B459" s="22"/>
      <c r="C459" s="23"/>
      <c r="D459" s="23"/>
      <c r="E459" s="23"/>
      <c r="G459" s="24"/>
      <c r="H459" s="24"/>
      <c r="I459" s="25"/>
      <c r="J459" s="25"/>
      <c r="P459" s="26"/>
    </row>
    <row r="460">
      <c r="A460" s="22"/>
      <c r="B460" s="22"/>
      <c r="C460" s="23"/>
      <c r="D460" s="23"/>
      <c r="E460" s="23"/>
      <c r="G460" s="24"/>
      <c r="H460" s="24"/>
      <c r="I460" s="25"/>
      <c r="J460" s="25"/>
      <c r="P460" s="26"/>
    </row>
    <row r="461">
      <c r="A461" s="22"/>
      <c r="B461" s="22"/>
      <c r="C461" s="23"/>
      <c r="D461" s="23"/>
      <c r="E461" s="23"/>
      <c r="G461" s="24"/>
      <c r="H461" s="24"/>
      <c r="I461" s="25"/>
      <c r="J461" s="25"/>
      <c r="P461" s="26"/>
    </row>
    <row r="462">
      <c r="A462" s="22"/>
      <c r="B462" s="22"/>
      <c r="C462" s="23"/>
      <c r="D462" s="23"/>
      <c r="E462" s="23"/>
      <c r="G462" s="24"/>
      <c r="H462" s="24"/>
      <c r="I462" s="25"/>
      <c r="J462" s="25"/>
      <c r="P462" s="26"/>
    </row>
    <row r="463">
      <c r="A463" s="22"/>
      <c r="B463" s="22"/>
      <c r="C463" s="23"/>
      <c r="D463" s="23"/>
      <c r="E463" s="23"/>
      <c r="G463" s="24"/>
      <c r="H463" s="24"/>
      <c r="I463" s="25"/>
      <c r="J463" s="25"/>
      <c r="P463" s="26"/>
    </row>
    <row r="464">
      <c r="A464" s="22"/>
      <c r="B464" s="22"/>
      <c r="C464" s="23"/>
      <c r="D464" s="23"/>
      <c r="E464" s="23"/>
      <c r="G464" s="24"/>
      <c r="H464" s="24"/>
      <c r="I464" s="25"/>
      <c r="J464" s="25"/>
      <c r="P464" s="26"/>
    </row>
    <row r="465">
      <c r="A465" s="22"/>
      <c r="B465" s="22"/>
      <c r="C465" s="23"/>
      <c r="D465" s="23"/>
      <c r="E465" s="23"/>
      <c r="G465" s="24"/>
      <c r="H465" s="24"/>
      <c r="I465" s="25"/>
      <c r="J465" s="25"/>
      <c r="P465" s="26"/>
    </row>
    <row r="466">
      <c r="A466" s="22"/>
      <c r="B466" s="22"/>
      <c r="C466" s="23"/>
      <c r="D466" s="23"/>
      <c r="E466" s="23"/>
      <c r="G466" s="24"/>
      <c r="H466" s="24"/>
      <c r="I466" s="25"/>
      <c r="J466" s="25"/>
      <c r="P466" s="26"/>
    </row>
    <row r="467">
      <c r="A467" s="22"/>
      <c r="B467" s="22"/>
      <c r="C467" s="23"/>
      <c r="D467" s="23"/>
      <c r="E467" s="23"/>
      <c r="G467" s="24"/>
      <c r="H467" s="24"/>
      <c r="I467" s="25"/>
      <c r="J467" s="25"/>
      <c r="P467" s="26"/>
    </row>
    <row r="468">
      <c r="A468" s="22"/>
      <c r="B468" s="22"/>
      <c r="C468" s="23"/>
      <c r="D468" s="23"/>
      <c r="E468" s="23"/>
      <c r="G468" s="24"/>
      <c r="H468" s="24"/>
      <c r="I468" s="25"/>
      <c r="J468" s="25"/>
      <c r="P468" s="26"/>
    </row>
    <row r="469">
      <c r="A469" s="22"/>
      <c r="B469" s="22"/>
      <c r="C469" s="23"/>
      <c r="D469" s="23"/>
      <c r="E469" s="23"/>
      <c r="G469" s="24"/>
      <c r="H469" s="24"/>
      <c r="I469" s="25"/>
      <c r="J469" s="25"/>
      <c r="P469" s="26"/>
    </row>
    <row r="470">
      <c r="A470" s="22"/>
      <c r="B470" s="22"/>
      <c r="C470" s="23"/>
      <c r="D470" s="23"/>
      <c r="E470" s="23"/>
      <c r="G470" s="24"/>
      <c r="H470" s="24"/>
      <c r="I470" s="25"/>
      <c r="J470" s="25"/>
      <c r="P470" s="26"/>
    </row>
    <row r="471">
      <c r="A471" s="22"/>
      <c r="B471" s="22"/>
      <c r="C471" s="23"/>
      <c r="D471" s="23"/>
      <c r="E471" s="23"/>
      <c r="G471" s="24"/>
      <c r="H471" s="24"/>
      <c r="I471" s="25"/>
      <c r="J471" s="25"/>
      <c r="P471" s="26"/>
    </row>
    <row r="472">
      <c r="A472" s="22"/>
      <c r="B472" s="22"/>
      <c r="C472" s="23"/>
      <c r="D472" s="23"/>
      <c r="E472" s="23"/>
      <c r="G472" s="24"/>
      <c r="H472" s="24"/>
      <c r="I472" s="25"/>
      <c r="J472" s="25"/>
      <c r="P472" s="26"/>
    </row>
    <row r="473">
      <c r="A473" s="22"/>
      <c r="B473" s="22"/>
      <c r="C473" s="23"/>
      <c r="D473" s="23"/>
      <c r="E473" s="23"/>
      <c r="G473" s="24"/>
      <c r="H473" s="24"/>
      <c r="I473" s="25"/>
      <c r="J473" s="25"/>
      <c r="P473" s="26"/>
    </row>
    <row r="474">
      <c r="A474" s="22"/>
      <c r="B474" s="22"/>
      <c r="C474" s="23"/>
      <c r="D474" s="23"/>
      <c r="E474" s="23"/>
      <c r="G474" s="24"/>
      <c r="H474" s="24"/>
      <c r="I474" s="25"/>
      <c r="J474" s="25"/>
      <c r="P474" s="26"/>
    </row>
    <row r="475">
      <c r="A475" s="22"/>
      <c r="B475" s="22"/>
      <c r="C475" s="23"/>
      <c r="D475" s="23"/>
      <c r="E475" s="23"/>
      <c r="G475" s="24"/>
      <c r="H475" s="24"/>
      <c r="I475" s="25"/>
      <c r="J475" s="25"/>
      <c r="P475" s="26"/>
    </row>
    <row r="476">
      <c r="A476" s="22"/>
      <c r="B476" s="22"/>
      <c r="C476" s="23"/>
      <c r="D476" s="23"/>
      <c r="E476" s="23"/>
      <c r="G476" s="24"/>
      <c r="H476" s="24"/>
      <c r="I476" s="25"/>
      <c r="J476" s="25"/>
      <c r="P476" s="26"/>
    </row>
    <row r="477">
      <c r="A477" s="22"/>
      <c r="B477" s="22"/>
      <c r="C477" s="23"/>
      <c r="D477" s="23"/>
      <c r="E477" s="23"/>
      <c r="G477" s="24"/>
      <c r="H477" s="24"/>
      <c r="I477" s="25"/>
      <c r="J477" s="25"/>
      <c r="P477" s="26"/>
    </row>
    <row r="478">
      <c r="A478" s="22"/>
      <c r="B478" s="22"/>
      <c r="C478" s="23"/>
      <c r="D478" s="23"/>
      <c r="E478" s="23"/>
      <c r="G478" s="24"/>
      <c r="H478" s="24"/>
      <c r="I478" s="25"/>
      <c r="J478" s="25"/>
      <c r="P478" s="26"/>
    </row>
    <row r="479">
      <c r="A479" s="22"/>
      <c r="B479" s="22"/>
      <c r="C479" s="23"/>
      <c r="D479" s="23"/>
      <c r="E479" s="23"/>
      <c r="G479" s="24"/>
      <c r="H479" s="24"/>
      <c r="I479" s="25"/>
      <c r="J479" s="25"/>
      <c r="P479" s="26"/>
    </row>
    <row r="480">
      <c r="A480" s="22"/>
      <c r="B480" s="22"/>
      <c r="C480" s="23"/>
      <c r="D480" s="23"/>
      <c r="E480" s="23"/>
      <c r="G480" s="24"/>
      <c r="H480" s="24"/>
      <c r="I480" s="25"/>
      <c r="J480" s="25"/>
      <c r="P480" s="26"/>
    </row>
    <row r="481">
      <c r="A481" s="22"/>
      <c r="B481" s="22"/>
      <c r="C481" s="23"/>
      <c r="D481" s="23"/>
      <c r="E481" s="23"/>
      <c r="G481" s="24"/>
      <c r="H481" s="24"/>
      <c r="I481" s="25"/>
      <c r="J481" s="25"/>
      <c r="P481" s="26"/>
    </row>
    <row r="482">
      <c r="A482" s="22"/>
      <c r="B482" s="22"/>
      <c r="C482" s="23"/>
      <c r="D482" s="23"/>
      <c r="E482" s="23"/>
      <c r="G482" s="24"/>
      <c r="H482" s="24"/>
      <c r="I482" s="25"/>
      <c r="J482" s="25"/>
      <c r="P482" s="26"/>
    </row>
    <row r="483">
      <c r="A483" s="22"/>
      <c r="B483" s="22"/>
      <c r="C483" s="23"/>
      <c r="D483" s="23"/>
      <c r="E483" s="23"/>
      <c r="G483" s="24"/>
      <c r="H483" s="24"/>
      <c r="I483" s="25"/>
      <c r="J483" s="25"/>
      <c r="P483" s="26"/>
    </row>
    <row r="484">
      <c r="A484" s="22"/>
      <c r="B484" s="22"/>
      <c r="C484" s="23"/>
      <c r="D484" s="23"/>
      <c r="E484" s="23"/>
      <c r="G484" s="24"/>
      <c r="H484" s="24"/>
      <c r="I484" s="25"/>
      <c r="J484" s="25"/>
      <c r="P484" s="26"/>
    </row>
    <row r="485">
      <c r="A485" s="22"/>
      <c r="B485" s="22"/>
      <c r="C485" s="23"/>
      <c r="D485" s="23"/>
      <c r="E485" s="23"/>
      <c r="G485" s="24"/>
      <c r="H485" s="24"/>
      <c r="I485" s="25"/>
      <c r="J485" s="25"/>
      <c r="P485" s="26"/>
    </row>
    <row r="486">
      <c r="A486" s="22"/>
      <c r="B486" s="22"/>
      <c r="C486" s="23"/>
      <c r="D486" s="23"/>
      <c r="E486" s="23"/>
      <c r="G486" s="24"/>
      <c r="H486" s="24"/>
      <c r="I486" s="25"/>
      <c r="J486" s="25"/>
      <c r="P486" s="26"/>
    </row>
    <row r="487">
      <c r="A487" s="22"/>
      <c r="B487" s="22"/>
      <c r="C487" s="23"/>
      <c r="D487" s="23"/>
      <c r="E487" s="23"/>
      <c r="G487" s="24"/>
      <c r="H487" s="24"/>
      <c r="I487" s="25"/>
      <c r="J487" s="25"/>
      <c r="P487" s="26"/>
    </row>
    <row r="488">
      <c r="A488" s="22"/>
      <c r="B488" s="22"/>
      <c r="C488" s="23"/>
      <c r="D488" s="23"/>
      <c r="E488" s="23"/>
      <c r="G488" s="24"/>
      <c r="H488" s="24"/>
      <c r="I488" s="25"/>
      <c r="J488" s="25"/>
      <c r="P488" s="26"/>
    </row>
    <row r="489">
      <c r="A489" s="22"/>
      <c r="B489" s="22"/>
      <c r="C489" s="23"/>
      <c r="D489" s="23"/>
      <c r="E489" s="23"/>
      <c r="G489" s="24"/>
      <c r="H489" s="24"/>
      <c r="I489" s="25"/>
      <c r="J489" s="25"/>
      <c r="P489" s="26"/>
    </row>
    <row r="490">
      <c r="A490" s="22"/>
      <c r="B490" s="22"/>
      <c r="C490" s="23"/>
      <c r="D490" s="23"/>
      <c r="E490" s="23"/>
      <c r="G490" s="24"/>
      <c r="H490" s="24"/>
      <c r="I490" s="25"/>
      <c r="J490" s="25"/>
      <c r="P490" s="26"/>
    </row>
    <row r="491">
      <c r="A491" s="22"/>
      <c r="B491" s="22"/>
      <c r="C491" s="23"/>
      <c r="D491" s="23"/>
      <c r="E491" s="23"/>
      <c r="G491" s="24"/>
      <c r="H491" s="24"/>
      <c r="I491" s="25"/>
      <c r="J491" s="25"/>
      <c r="P491" s="26"/>
    </row>
    <row r="492">
      <c r="A492" s="22"/>
      <c r="B492" s="22"/>
      <c r="C492" s="23"/>
      <c r="D492" s="23"/>
      <c r="E492" s="23"/>
      <c r="G492" s="24"/>
      <c r="H492" s="24"/>
      <c r="I492" s="25"/>
      <c r="J492" s="25"/>
      <c r="P492" s="26"/>
    </row>
    <row r="493">
      <c r="A493" s="22"/>
      <c r="B493" s="22"/>
      <c r="C493" s="23"/>
      <c r="D493" s="23"/>
      <c r="E493" s="23"/>
      <c r="G493" s="24"/>
      <c r="H493" s="24"/>
      <c r="I493" s="25"/>
      <c r="J493" s="25"/>
      <c r="P493" s="26"/>
    </row>
    <row r="494">
      <c r="A494" s="22"/>
      <c r="B494" s="22"/>
      <c r="C494" s="23"/>
      <c r="D494" s="23"/>
      <c r="E494" s="23"/>
      <c r="G494" s="24"/>
      <c r="H494" s="24"/>
      <c r="I494" s="25"/>
      <c r="J494" s="25"/>
      <c r="P494" s="26"/>
    </row>
    <row r="495">
      <c r="A495" s="22"/>
      <c r="B495" s="22"/>
      <c r="C495" s="23"/>
      <c r="D495" s="23"/>
      <c r="E495" s="23"/>
      <c r="G495" s="24"/>
      <c r="H495" s="24"/>
      <c r="I495" s="25"/>
      <c r="J495" s="25"/>
      <c r="P495" s="26"/>
    </row>
    <row r="496">
      <c r="A496" s="22"/>
      <c r="B496" s="22"/>
      <c r="C496" s="23"/>
      <c r="D496" s="23"/>
      <c r="E496" s="23"/>
      <c r="G496" s="24"/>
      <c r="H496" s="24"/>
      <c r="I496" s="25"/>
      <c r="J496" s="25"/>
      <c r="P496" s="26"/>
    </row>
    <row r="497">
      <c r="A497" s="22"/>
      <c r="B497" s="22"/>
      <c r="C497" s="23"/>
      <c r="D497" s="23"/>
      <c r="E497" s="23"/>
      <c r="G497" s="24"/>
      <c r="H497" s="24"/>
      <c r="I497" s="25"/>
      <c r="J497" s="25"/>
      <c r="P497" s="26"/>
    </row>
    <row r="498">
      <c r="A498" s="22"/>
      <c r="B498" s="22"/>
      <c r="C498" s="23"/>
      <c r="D498" s="23"/>
      <c r="E498" s="23"/>
      <c r="G498" s="24"/>
      <c r="H498" s="24"/>
      <c r="I498" s="25"/>
      <c r="J498" s="25"/>
      <c r="P498" s="26"/>
    </row>
    <row r="499">
      <c r="A499" s="22"/>
      <c r="B499" s="22"/>
      <c r="C499" s="23"/>
      <c r="D499" s="23"/>
      <c r="E499" s="23"/>
      <c r="G499" s="24"/>
      <c r="H499" s="24"/>
      <c r="I499" s="25"/>
      <c r="J499" s="25"/>
      <c r="P499" s="26"/>
    </row>
    <row r="500">
      <c r="A500" s="22"/>
      <c r="B500" s="22"/>
      <c r="C500" s="23"/>
      <c r="D500" s="23"/>
      <c r="E500" s="23"/>
      <c r="G500" s="24"/>
      <c r="H500" s="24"/>
      <c r="I500" s="25"/>
      <c r="J500" s="25"/>
      <c r="P500" s="26"/>
    </row>
    <row r="501">
      <c r="A501" s="22"/>
      <c r="B501" s="22"/>
      <c r="C501" s="23"/>
      <c r="D501" s="23"/>
      <c r="E501" s="23"/>
      <c r="G501" s="24"/>
      <c r="H501" s="24"/>
      <c r="I501" s="25"/>
      <c r="J501" s="25"/>
      <c r="P501" s="26"/>
    </row>
    <row r="502">
      <c r="A502" s="22"/>
      <c r="B502" s="22"/>
      <c r="C502" s="23"/>
      <c r="D502" s="23"/>
      <c r="E502" s="23"/>
      <c r="G502" s="24"/>
      <c r="H502" s="24"/>
      <c r="I502" s="25"/>
      <c r="J502" s="25"/>
      <c r="P502" s="26"/>
    </row>
    <row r="503">
      <c r="A503" s="22"/>
      <c r="B503" s="22"/>
      <c r="C503" s="23"/>
      <c r="D503" s="23"/>
      <c r="E503" s="23"/>
      <c r="G503" s="24"/>
      <c r="H503" s="24"/>
      <c r="I503" s="25"/>
      <c r="J503" s="25"/>
      <c r="P503" s="26"/>
    </row>
    <row r="504">
      <c r="A504" s="22"/>
      <c r="B504" s="22"/>
      <c r="C504" s="23"/>
      <c r="D504" s="23"/>
      <c r="E504" s="23"/>
      <c r="G504" s="24"/>
      <c r="H504" s="24"/>
      <c r="I504" s="25"/>
      <c r="J504" s="25"/>
      <c r="P504" s="26"/>
    </row>
    <row r="505">
      <c r="A505" s="22"/>
      <c r="B505" s="22"/>
      <c r="C505" s="23"/>
      <c r="D505" s="23"/>
      <c r="E505" s="23"/>
      <c r="G505" s="24"/>
      <c r="H505" s="24"/>
      <c r="I505" s="25"/>
      <c r="J505" s="25"/>
      <c r="P505" s="26"/>
    </row>
    <row r="506">
      <c r="A506" s="22"/>
      <c r="B506" s="22"/>
      <c r="C506" s="23"/>
      <c r="D506" s="23"/>
      <c r="E506" s="23"/>
      <c r="G506" s="24"/>
      <c r="H506" s="24"/>
      <c r="I506" s="25"/>
      <c r="J506" s="25"/>
      <c r="P506" s="26"/>
    </row>
    <row r="507">
      <c r="A507" s="22"/>
      <c r="B507" s="22"/>
      <c r="C507" s="23"/>
      <c r="D507" s="23"/>
      <c r="E507" s="23"/>
      <c r="G507" s="24"/>
      <c r="H507" s="24"/>
      <c r="I507" s="25"/>
      <c r="J507" s="25"/>
      <c r="P507" s="26"/>
    </row>
    <row r="508">
      <c r="A508" s="22"/>
      <c r="B508" s="22"/>
      <c r="C508" s="23"/>
      <c r="D508" s="23"/>
      <c r="E508" s="23"/>
      <c r="G508" s="24"/>
      <c r="H508" s="24"/>
      <c r="I508" s="25"/>
      <c r="J508" s="25"/>
      <c r="P508" s="26"/>
    </row>
    <row r="509">
      <c r="A509" s="22"/>
      <c r="B509" s="22"/>
      <c r="C509" s="23"/>
      <c r="D509" s="23"/>
      <c r="E509" s="23"/>
      <c r="G509" s="24"/>
      <c r="H509" s="24"/>
      <c r="I509" s="25"/>
      <c r="J509" s="25"/>
      <c r="P509" s="26"/>
    </row>
    <row r="510">
      <c r="A510" s="22"/>
      <c r="B510" s="22"/>
      <c r="C510" s="23"/>
      <c r="D510" s="23"/>
      <c r="E510" s="23"/>
      <c r="G510" s="24"/>
      <c r="H510" s="24"/>
      <c r="I510" s="25"/>
      <c r="J510" s="25"/>
      <c r="P510" s="26"/>
    </row>
    <row r="511">
      <c r="A511" s="22"/>
      <c r="B511" s="22"/>
      <c r="C511" s="23"/>
      <c r="D511" s="23"/>
      <c r="E511" s="23"/>
      <c r="G511" s="24"/>
      <c r="H511" s="24"/>
      <c r="I511" s="25"/>
      <c r="J511" s="25"/>
      <c r="P511" s="26"/>
    </row>
    <row r="512">
      <c r="A512" s="22"/>
      <c r="B512" s="22"/>
      <c r="C512" s="23"/>
      <c r="D512" s="23"/>
      <c r="E512" s="23"/>
      <c r="G512" s="24"/>
      <c r="H512" s="24"/>
      <c r="I512" s="25"/>
      <c r="J512" s="25"/>
      <c r="P512" s="26"/>
    </row>
    <row r="513">
      <c r="A513" s="22"/>
      <c r="B513" s="22"/>
      <c r="C513" s="23"/>
      <c r="D513" s="23"/>
      <c r="E513" s="23"/>
      <c r="G513" s="24"/>
      <c r="H513" s="24"/>
      <c r="I513" s="25"/>
      <c r="J513" s="25"/>
      <c r="P513" s="26"/>
    </row>
    <row r="514">
      <c r="A514" s="22"/>
      <c r="B514" s="22"/>
      <c r="C514" s="23"/>
      <c r="D514" s="23"/>
      <c r="E514" s="23"/>
      <c r="G514" s="24"/>
      <c r="H514" s="24"/>
      <c r="I514" s="25"/>
      <c r="J514" s="25"/>
      <c r="P514" s="26"/>
    </row>
    <row r="515">
      <c r="A515" s="22"/>
      <c r="B515" s="22"/>
      <c r="C515" s="23"/>
      <c r="D515" s="23"/>
      <c r="E515" s="23"/>
      <c r="G515" s="24"/>
      <c r="H515" s="24"/>
      <c r="I515" s="25"/>
      <c r="J515" s="25"/>
      <c r="P515" s="26"/>
    </row>
    <row r="516">
      <c r="A516" s="22"/>
      <c r="B516" s="22"/>
      <c r="C516" s="23"/>
      <c r="D516" s="23"/>
      <c r="E516" s="23"/>
      <c r="G516" s="24"/>
      <c r="H516" s="24"/>
      <c r="I516" s="25"/>
      <c r="J516" s="25"/>
      <c r="P516" s="26"/>
    </row>
    <row r="517">
      <c r="A517" s="22"/>
      <c r="B517" s="22"/>
      <c r="C517" s="23"/>
      <c r="D517" s="23"/>
      <c r="E517" s="23"/>
      <c r="G517" s="24"/>
      <c r="H517" s="24"/>
      <c r="I517" s="25"/>
      <c r="J517" s="25"/>
      <c r="P517" s="26"/>
    </row>
    <row r="518">
      <c r="A518" s="22"/>
      <c r="B518" s="22"/>
      <c r="C518" s="23"/>
      <c r="D518" s="23"/>
      <c r="E518" s="23"/>
      <c r="G518" s="24"/>
      <c r="H518" s="24"/>
      <c r="I518" s="25"/>
      <c r="J518" s="25"/>
      <c r="P518" s="26"/>
    </row>
    <row r="519">
      <c r="A519" s="22"/>
      <c r="B519" s="22"/>
      <c r="C519" s="23"/>
      <c r="D519" s="23"/>
      <c r="E519" s="23"/>
      <c r="G519" s="24"/>
      <c r="H519" s="24"/>
      <c r="I519" s="25"/>
      <c r="J519" s="25"/>
      <c r="P519" s="26"/>
    </row>
    <row r="520">
      <c r="A520" s="22"/>
      <c r="B520" s="22"/>
      <c r="C520" s="23"/>
      <c r="D520" s="23"/>
      <c r="E520" s="23"/>
      <c r="G520" s="24"/>
      <c r="H520" s="24"/>
      <c r="I520" s="25"/>
      <c r="J520" s="25"/>
      <c r="P520" s="26"/>
    </row>
    <row r="521">
      <c r="A521" s="22"/>
      <c r="B521" s="22"/>
      <c r="C521" s="23"/>
      <c r="D521" s="23"/>
      <c r="E521" s="23"/>
      <c r="G521" s="24"/>
      <c r="H521" s="24"/>
      <c r="I521" s="25"/>
      <c r="J521" s="25"/>
      <c r="P521" s="26"/>
    </row>
    <row r="522">
      <c r="A522" s="22"/>
      <c r="B522" s="22"/>
      <c r="C522" s="23"/>
      <c r="D522" s="23"/>
      <c r="E522" s="23"/>
      <c r="G522" s="24"/>
      <c r="H522" s="24"/>
      <c r="I522" s="25"/>
      <c r="J522" s="25"/>
      <c r="P522" s="26"/>
    </row>
    <row r="523">
      <c r="A523" s="22"/>
      <c r="B523" s="22"/>
      <c r="C523" s="23"/>
      <c r="D523" s="23"/>
      <c r="E523" s="23"/>
      <c r="G523" s="24"/>
      <c r="H523" s="24"/>
      <c r="I523" s="25"/>
      <c r="J523" s="25"/>
      <c r="P523" s="26"/>
    </row>
    <row r="524">
      <c r="A524" s="22"/>
      <c r="B524" s="22"/>
      <c r="C524" s="23"/>
      <c r="D524" s="23"/>
      <c r="E524" s="23"/>
      <c r="G524" s="24"/>
      <c r="H524" s="24"/>
      <c r="I524" s="25"/>
      <c r="J524" s="25"/>
      <c r="P524" s="26"/>
    </row>
    <row r="525">
      <c r="A525" s="22"/>
      <c r="B525" s="22"/>
      <c r="C525" s="23"/>
      <c r="D525" s="23"/>
      <c r="E525" s="23"/>
      <c r="G525" s="24"/>
      <c r="H525" s="24"/>
      <c r="I525" s="25"/>
      <c r="J525" s="25"/>
      <c r="P525" s="26"/>
    </row>
    <row r="526">
      <c r="A526" s="22"/>
      <c r="B526" s="22"/>
      <c r="C526" s="23"/>
      <c r="D526" s="23"/>
      <c r="E526" s="23"/>
      <c r="G526" s="24"/>
      <c r="H526" s="24"/>
      <c r="I526" s="25"/>
      <c r="J526" s="25"/>
      <c r="P526" s="26"/>
    </row>
    <row r="527">
      <c r="A527" s="22"/>
      <c r="B527" s="22"/>
      <c r="C527" s="23"/>
      <c r="D527" s="23"/>
      <c r="E527" s="23"/>
      <c r="G527" s="24"/>
      <c r="H527" s="24"/>
      <c r="I527" s="25"/>
      <c r="J527" s="25"/>
      <c r="P527" s="26"/>
    </row>
    <row r="528">
      <c r="A528" s="22"/>
      <c r="B528" s="22"/>
      <c r="C528" s="23"/>
      <c r="D528" s="23"/>
      <c r="E528" s="23"/>
      <c r="G528" s="24"/>
      <c r="H528" s="24"/>
      <c r="I528" s="25"/>
      <c r="J528" s="25"/>
      <c r="P528" s="26"/>
    </row>
    <row r="529">
      <c r="A529" s="22"/>
      <c r="B529" s="22"/>
      <c r="C529" s="23"/>
      <c r="D529" s="23"/>
      <c r="E529" s="23"/>
      <c r="G529" s="24"/>
      <c r="H529" s="24"/>
      <c r="I529" s="25"/>
      <c r="J529" s="25"/>
      <c r="P529" s="26"/>
    </row>
    <row r="530">
      <c r="A530" s="22"/>
      <c r="B530" s="22"/>
      <c r="C530" s="23"/>
      <c r="D530" s="23"/>
      <c r="E530" s="23"/>
      <c r="G530" s="24"/>
      <c r="H530" s="24"/>
      <c r="I530" s="25"/>
      <c r="J530" s="25"/>
      <c r="P530" s="26"/>
    </row>
    <row r="531">
      <c r="A531" s="22"/>
      <c r="B531" s="22"/>
      <c r="C531" s="23"/>
      <c r="D531" s="23"/>
      <c r="E531" s="23"/>
      <c r="G531" s="24"/>
      <c r="H531" s="24"/>
      <c r="I531" s="25"/>
      <c r="J531" s="25"/>
      <c r="P531" s="26"/>
    </row>
    <row r="532">
      <c r="A532" s="22"/>
      <c r="B532" s="22"/>
      <c r="C532" s="23"/>
      <c r="D532" s="23"/>
      <c r="E532" s="23"/>
      <c r="G532" s="24"/>
      <c r="H532" s="24"/>
      <c r="I532" s="25"/>
      <c r="J532" s="25"/>
      <c r="P532" s="26"/>
    </row>
    <row r="533">
      <c r="A533" s="22"/>
      <c r="B533" s="22"/>
      <c r="C533" s="23"/>
      <c r="D533" s="23"/>
      <c r="E533" s="23"/>
      <c r="G533" s="24"/>
      <c r="H533" s="24"/>
      <c r="I533" s="25"/>
      <c r="J533" s="25"/>
      <c r="P533" s="26"/>
    </row>
    <row r="534">
      <c r="A534" s="22"/>
      <c r="B534" s="22"/>
      <c r="C534" s="23"/>
      <c r="D534" s="23"/>
      <c r="E534" s="23"/>
      <c r="G534" s="24"/>
      <c r="H534" s="24"/>
      <c r="I534" s="25"/>
      <c r="J534" s="25"/>
      <c r="P534" s="26"/>
    </row>
    <row r="535">
      <c r="A535" s="22"/>
      <c r="B535" s="22"/>
      <c r="C535" s="23"/>
      <c r="D535" s="23"/>
      <c r="E535" s="23"/>
      <c r="G535" s="24"/>
      <c r="H535" s="24"/>
      <c r="I535" s="25"/>
      <c r="J535" s="25"/>
      <c r="P535" s="26"/>
    </row>
    <row r="536">
      <c r="A536" s="22"/>
      <c r="B536" s="22"/>
      <c r="C536" s="23"/>
      <c r="D536" s="23"/>
      <c r="E536" s="23"/>
      <c r="G536" s="24"/>
      <c r="H536" s="24"/>
      <c r="I536" s="25"/>
      <c r="J536" s="25"/>
      <c r="P536" s="26"/>
    </row>
    <row r="537">
      <c r="A537" s="22"/>
      <c r="B537" s="22"/>
      <c r="C537" s="23"/>
      <c r="D537" s="23"/>
      <c r="E537" s="23"/>
      <c r="G537" s="24"/>
      <c r="H537" s="24"/>
      <c r="I537" s="25"/>
      <c r="J537" s="25"/>
      <c r="P537" s="26"/>
    </row>
    <row r="538">
      <c r="A538" s="22"/>
      <c r="B538" s="22"/>
      <c r="C538" s="23"/>
      <c r="D538" s="23"/>
      <c r="E538" s="23"/>
      <c r="G538" s="24"/>
      <c r="H538" s="24"/>
      <c r="I538" s="25"/>
      <c r="J538" s="25"/>
      <c r="P538" s="26"/>
    </row>
    <row r="539">
      <c r="A539" s="22"/>
      <c r="B539" s="22"/>
      <c r="C539" s="23"/>
      <c r="D539" s="23"/>
      <c r="E539" s="23"/>
      <c r="G539" s="24"/>
      <c r="H539" s="24"/>
      <c r="I539" s="25"/>
      <c r="J539" s="25"/>
      <c r="P539" s="26"/>
    </row>
    <row r="540">
      <c r="A540" s="22"/>
      <c r="B540" s="22"/>
      <c r="C540" s="23"/>
      <c r="D540" s="23"/>
      <c r="E540" s="23"/>
      <c r="G540" s="24"/>
      <c r="H540" s="24"/>
      <c r="I540" s="25"/>
      <c r="J540" s="25"/>
      <c r="P540" s="26"/>
    </row>
    <row r="541">
      <c r="A541" s="22"/>
      <c r="B541" s="22"/>
      <c r="C541" s="23"/>
      <c r="D541" s="23"/>
      <c r="E541" s="23"/>
      <c r="G541" s="24"/>
      <c r="H541" s="24"/>
      <c r="I541" s="25"/>
      <c r="J541" s="25"/>
      <c r="P541" s="26"/>
    </row>
    <row r="542">
      <c r="A542" s="22"/>
      <c r="B542" s="22"/>
      <c r="C542" s="23"/>
      <c r="D542" s="23"/>
      <c r="E542" s="23"/>
      <c r="G542" s="24"/>
      <c r="H542" s="24"/>
      <c r="I542" s="25"/>
      <c r="J542" s="25"/>
      <c r="P542" s="26"/>
    </row>
    <row r="543">
      <c r="A543" s="22"/>
      <c r="B543" s="22"/>
      <c r="C543" s="23"/>
      <c r="D543" s="23"/>
      <c r="E543" s="23"/>
      <c r="G543" s="24"/>
      <c r="H543" s="24"/>
      <c r="I543" s="25"/>
      <c r="J543" s="25"/>
      <c r="P543" s="26"/>
    </row>
    <row r="544">
      <c r="A544" s="22"/>
      <c r="B544" s="22"/>
      <c r="C544" s="23"/>
      <c r="D544" s="23"/>
      <c r="E544" s="23"/>
      <c r="G544" s="24"/>
      <c r="H544" s="24"/>
      <c r="I544" s="25"/>
      <c r="J544" s="25"/>
      <c r="P544" s="26"/>
    </row>
    <row r="545">
      <c r="A545" s="22"/>
      <c r="B545" s="22"/>
      <c r="C545" s="23"/>
      <c r="D545" s="23"/>
      <c r="E545" s="23"/>
      <c r="G545" s="24"/>
      <c r="H545" s="24"/>
      <c r="I545" s="25"/>
      <c r="J545" s="25"/>
      <c r="P545" s="26"/>
    </row>
    <row r="546">
      <c r="A546" s="22"/>
      <c r="B546" s="22"/>
      <c r="C546" s="23"/>
      <c r="D546" s="23"/>
      <c r="E546" s="23"/>
      <c r="G546" s="24"/>
      <c r="H546" s="24"/>
      <c r="I546" s="25"/>
      <c r="J546" s="25"/>
      <c r="P546" s="26"/>
    </row>
    <row r="547">
      <c r="A547" s="22"/>
      <c r="B547" s="22"/>
      <c r="C547" s="23"/>
      <c r="D547" s="23"/>
      <c r="E547" s="23"/>
      <c r="G547" s="24"/>
      <c r="H547" s="24"/>
      <c r="I547" s="25"/>
      <c r="J547" s="25"/>
      <c r="P547" s="26"/>
    </row>
    <row r="548">
      <c r="A548" s="22"/>
      <c r="B548" s="22"/>
      <c r="C548" s="23"/>
      <c r="D548" s="23"/>
      <c r="E548" s="23"/>
      <c r="G548" s="24"/>
      <c r="H548" s="24"/>
      <c r="I548" s="25"/>
      <c r="J548" s="25"/>
      <c r="P548" s="26"/>
    </row>
    <row r="549">
      <c r="A549" s="22"/>
      <c r="B549" s="22"/>
      <c r="C549" s="23"/>
      <c r="D549" s="23"/>
      <c r="E549" s="23"/>
      <c r="G549" s="24"/>
      <c r="H549" s="24"/>
      <c r="I549" s="25"/>
      <c r="J549" s="25"/>
      <c r="P549" s="26"/>
    </row>
    <row r="550">
      <c r="A550" s="22"/>
      <c r="B550" s="22"/>
      <c r="C550" s="23"/>
      <c r="D550" s="23"/>
      <c r="E550" s="23"/>
      <c r="G550" s="24"/>
      <c r="H550" s="24"/>
      <c r="I550" s="25"/>
      <c r="J550" s="25"/>
      <c r="P550" s="26"/>
    </row>
    <row r="551">
      <c r="A551" s="22"/>
      <c r="B551" s="22"/>
      <c r="C551" s="23"/>
      <c r="D551" s="23"/>
      <c r="E551" s="23"/>
      <c r="G551" s="24"/>
      <c r="H551" s="24"/>
      <c r="I551" s="25"/>
      <c r="J551" s="25"/>
      <c r="P551" s="26"/>
    </row>
    <row r="552">
      <c r="A552" s="22"/>
      <c r="B552" s="22"/>
      <c r="C552" s="23"/>
      <c r="D552" s="23"/>
      <c r="E552" s="23"/>
      <c r="G552" s="24"/>
      <c r="H552" s="24"/>
      <c r="I552" s="25"/>
      <c r="J552" s="25"/>
      <c r="P552" s="26"/>
    </row>
    <row r="553">
      <c r="A553" s="22"/>
      <c r="B553" s="22"/>
      <c r="C553" s="23"/>
      <c r="D553" s="23"/>
      <c r="E553" s="23"/>
      <c r="G553" s="24"/>
      <c r="H553" s="24"/>
      <c r="I553" s="25"/>
      <c r="J553" s="25"/>
      <c r="P553" s="26"/>
    </row>
    <row r="554">
      <c r="A554" s="22"/>
      <c r="B554" s="22"/>
      <c r="C554" s="23"/>
      <c r="D554" s="23"/>
      <c r="E554" s="23"/>
      <c r="G554" s="24"/>
      <c r="H554" s="24"/>
      <c r="I554" s="25"/>
      <c r="J554" s="25"/>
      <c r="P554" s="26"/>
    </row>
    <row r="555">
      <c r="A555" s="22"/>
      <c r="B555" s="22"/>
      <c r="C555" s="23"/>
      <c r="D555" s="23"/>
      <c r="E555" s="23"/>
      <c r="G555" s="24"/>
      <c r="H555" s="24"/>
      <c r="I555" s="25"/>
      <c r="J555" s="25"/>
      <c r="P555" s="26"/>
    </row>
    <row r="556">
      <c r="A556" s="22"/>
      <c r="B556" s="22"/>
      <c r="C556" s="23"/>
      <c r="D556" s="23"/>
      <c r="E556" s="23"/>
      <c r="G556" s="24"/>
      <c r="H556" s="24"/>
      <c r="I556" s="25"/>
      <c r="J556" s="25"/>
      <c r="P556" s="26"/>
    </row>
    <row r="557">
      <c r="A557" s="22"/>
      <c r="B557" s="22"/>
      <c r="C557" s="23"/>
      <c r="D557" s="23"/>
      <c r="E557" s="23"/>
      <c r="G557" s="24"/>
      <c r="H557" s="24"/>
      <c r="I557" s="25"/>
      <c r="J557" s="25"/>
      <c r="P557" s="26"/>
    </row>
    <row r="558">
      <c r="A558" s="22"/>
      <c r="B558" s="22"/>
      <c r="C558" s="23"/>
      <c r="D558" s="23"/>
      <c r="E558" s="23"/>
      <c r="G558" s="24"/>
      <c r="H558" s="24"/>
      <c r="I558" s="25"/>
      <c r="J558" s="25"/>
      <c r="P558" s="26"/>
    </row>
    <row r="559">
      <c r="A559" s="22"/>
      <c r="B559" s="22"/>
      <c r="C559" s="23"/>
      <c r="D559" s="23"/>
      <c r="E559" s="23"/>
      <c r="G559" s="24"/>
      <c r="H559" s="24"/>
      <c r="I559" s="25"/>
      <c r="J559" s="25"/>
      <c r="P559" s="26"/>
    </row>
    <row r="560">
      <c r="A560" s="22"/>
      <c r="B560" s="22"/>
      <c r="C560" s="23"/>
      <c r="D560" s="23"/>
      <c r="E560" s="23"/>
      <c r="G560" s="24"/>
      <c r="H560" s="24"/>
      <c r="I560" s="25"/>
      <c r="J560" s="25"/>
      <c r="P560" s="26"/>
    </row>
    <row r="561">
      <c r="A561" s="22"/>
      <c r="B561" s="22"/>
      <c r="C561" s="23"/>
      <c r="D561" s="23"/>
      <c r="E561" s="23"/>
      <c r="G561" s="24"/>
      <c r="H561" s="24"/>
      <c r="I561" s="25"/>
      <c r="J561" s="25"/>
      <c r="P561" s="26"/>
    </row>
    <row r="562">
      <c r="A562" s="22"/>
      <c r="B562" s="22"/>
      <c r="C562" s="23"/>
      <c r="D562" s="23"/>
      <c r="E562" s="23"/>
      <c r="G562" s="24"/>
      <c r="H562" s="24"/>
      <c r="I562" s="25"/>
      <c r="J562" s="25"/>
      <c r="P562" s="26"/>
    </row>
    <row r="563">
      <c r="A563" s="22"/>
      <c r="B563" s="22"/>
      <c r="C563" s="23"/>
      <c r="D563" s="23"/>
      <c r="E563" s="23"/>
      <c r="G563" s="24"/>
      <c r="H563" s="24"/>
      <c r="I563" s="25"/>
      <c r="J563" s="25"/>
      <c r="P563" s="26"/>
    </row>
    <row r="564">
      <c r="A564" s="22"/>
      <c r="B564" s="22"/>
      <c r="C564" s="23"/>
      <c r="D564" s="23"/>
      <c r="E564" s="23"/>
      <c r="G564" s="24"/>
      <c r="H564" s="24"/>
      <c r="I564" s="25"/>
      <c r="J564" s="25"/>
      <c r="P564" s="26"/>
    </row>
    <row r="565">
      <c r="A565" s="22"/>
      <c r="B565" s="22"/>
      <c r="C565" s="23"/>
      <c r="D565" s="23"/>
      <c r="E565" s="23"/>
      <c r="G565" s="24"/>
      <c r="H565" s="24"/>
      <c r="I565" s="25"/>
      <c r="J565" s="25"/>
      <c r="P565" s="26"/>
    </row>
    <row r="566">
      <c r="A566" s="22"/>
      <c r="B566" s="22"/>
      <c r="C566" s="23"/>
      <c r="D566" s="23"/>
      <c r="E566" s="23"/>
      <c r="G566" s="24"/>
      <c r="H566" s="24"/>
      <c r="I566" s="25"/>
      <c r="J566" s="25"/>
      <c r="P566" s="26"/>
    </row>
    <row r="567">
      <c r="A567" s="22"/>
      <c r="B567" s="22"/>
      <c r="C567" s="23"/>
      <c r="D567" s="23"/>
      <c r="E567" s="23"/>
      <c r="G567" s="24"/>
      <c r="H567" s="24"/>
      <c r="I567" s="25"/>
      <c r="J567" s="25"/>
      <c r="P567" s="26"/>
    </row>
    <row r="568">
      <c r="A568" s="22"/>
      <c r="B568" s="22"/>
      <c r="C568" s="23"/>
      <c r="D568" s="23"/>
      <c r="E568" s="23"/>
      <c r="G568" s="24"/>
      <c r="H568" s="24"/>
      <c r="I568" s="25"/>
      <c r="J568" s="25"/>
      <c r="P568" s="26"/>
    </row>
    <row r="569">
      <c r="A569" s="22"/>
      <c r="B569" s="22"/>
      <c r="C569" s="23"/>
      <c r="D569" s="23"/>
      <c r="E569" s="23"/>
      <c r="G569" s="24"/>
      <c r="H569" s="24"/>
      <c r="I569" s="25"/>
      <c r="J569" s="25"/>
      <c r="P569" s="26"/>
    </row>
    <row r="570">
      <c r="A570" s="22"/>
      <c r="B570" s="22"/>
      <c r="C570" s="23"/>
      <c r="D570" s="23"/>
      <c r="E570" s="23"/>
      <c r="G570" s="24"/>
      <c r="H570" s="24"/>
      <c r="I570" s="25"/>
      <c r="J570" s="25"/>
      <c r="P570" s="26"/>
    </row>
    <row r="571">
      <c r="A571" s="22"/>
      <c r="B571" s="22"/>
      <c r="C571" s="23"/>
      <c r="D571" s="23"/>
      <c r="E571" s="23"/>
      <c r="G571" s="24"/>
      <c r="H571" s="24"/>
      <c r="I571" s="25"/>
      <c r="J571" s="25"/>
      <c r="P571" s="26"/>
    </row>
    <row r="572">
      <c r="A572" s="22"/>
      <c r="B572" s="22"/>
      <c r="C572" s="23"/>
      <c r="D572" s="23"/>
      <c r="E572" s="23"/>
      <c r="G572" s="24"/>
      <c r="H572" s="24"/>
      <c r="I572" s="25"/>
      <c r="J572" s="25"/>
      <c r="P572" s="26"/>
    </row>
    <row r="573">
      <c r="A573" s="22"/>
      <c r="B573" s="22"/>
      <c r="C573" s="23"/>
      <c r="D573" s="23"/>
      <c r="E573" s="23"/>
      <c r="G573" s="24"/>
      <c r="H573" s="24"/>
      <c r="I573" s="25"/>
      <c r="J573" s="25"/>
      <c r="P573" s="26"/>
    </row>
    <row r="574">
      <c r="A574" s="22"/>
      <c r="B574" s="22"/>
      <c r="C574" s="23"/>
      <c r="D574" s="23"/>
      <c r="E574" s="23"/>
      <c r="G574" s="24"/>
      <c r="H574" s="24"/>
      <c r="I574" s="25"/>
      <c r="J574" s="25"/>
      <c r="P574" s="26"/>
    </row>
    <row r="575">
      <c r="A575" s="22"/>
      <c r="B575" s="22"/>
      <c r="C575" s="23"/>
      <c r="D575" s="23"/>
      <c r="E575" s="23"/>
      <c r="G575" s="24"/>
      <c r="H575" s="24"/>
      <c r="I575" s="25"/>
      <c r="J575" s="25"/>
      <c r="P575" s="26"/>
    </row>
    <row r="576">
      <c r="A576" s="22"/>
      <c r="B576" s="22"/>
      <c r="C576" s="23"/>
      <c r="D576" s="23"/>
      <c r="E576" s="23"/>
      <c r="G576" s="24"/>
      <c r="H576" s="24"/>
      <c r="I576" s="25"/>
      <c r="J576" s="25"/>
      <c r="P576" s="26"/>
    </row>
    <row r="577">
      <c r="A577" s="22"/>
      <c r="B577" s="22"/>
      <c r="C577" s="23"/>
      <c r="D577" s="23"/>
      <c r="E577" s="23"/>
      <c r="G577" s="24"/>
      <c r="H577" s="24"/>
      <c r="I577" s="25"/>
      <c r="J577" s="25"/>
      <c r="P577" s="26"/>
    </row>
    <row r="578">
      <c r="A578" s="22"/>
      <c r="B578" s="22"/>
      <c r="C578" s="23"/>
      <c r="D578" s="23"/>
      <c r="E578" s="23"/>
      <c r="G578" s="24"/>
      <c r="H578" s="24"/>
      <c r="I578" s="25"/>
      <c r="J578" s="25"/>
      <c r="P578" s="26"/>
    </row>
    <row r="579">
      <c r="A579" s="22"/>
      <c r="B579" s="22"/>
      <c r="C579" s="23"/>
      <c r="D579" s="23"/>
      <c r="E579" s="23"/>
      <c r="G579" s="24"/>
      <c r="H579" s="24"/>
      <c r="I579" s="25"/>
      <c r="J579" s="25"/>
      <c r="P579" s="26"/>
    </row>
    <row r="580">
      <c r="A580" s="22"/>
      <c r="B580" s="22"/>
      <c r="C580" s="23"/>
      <c r="D580" s="23"/>
      <c r="E580" s="23"/>
      <c r="G580" s="24"/>
      <c r="H580" s="24"/>
      <c r="I580" s="25"/>
      <c r="J580" s="25"/>
      <c r="P580" s="26"/>
    </row>
    <row r="581">
      <c r="A581" s="22"/>
      <c r="B581" s="22"/>
      <c r="C581" s="23"/>
      <c r="D581" s="23"/>
      <c r="E581" s="23"/>
      <c r="G581" s="24"/>
      <c r="H581" s="24"/>
      <c r="I581" s="25"/>
      <c r="J581" s="25"/>
      <c r="P581" s="26"/>
    </row>
    <row r="582">
      <c r="A582" s="22"/>
      <c r="B582" s="22"/>
      <c r="C582" s="23"/>
      <c r="D582" s="23"/>
      <c r="E582" s="23"/>
      <c r="G582" s="24"/>
      <c r="H582" s="24"/>
      <c r="I582" s="25"/>
      <c r="J582" s="25"/>
      <c r="P582" s="26"/>
    </row>
    <row r="583">
      <c r="A583" s="22"/>
      <c r="B583" s="22"/>
      <c r="C583" s="23"/>
      <c r="D583" s="23"/>
      <c r="E583" s="23"/>
      <c r="G583" s="24"/>
      <c r="H583" s="24"/>
      <c r="I583" s="25"/>
      <c r="J583" s="25"/>
      <c r="P583" s="26"/>
    </row>
    <row r="584">
      <c r="A584" s="22"/>
      <c r="B584" s="22"/>
      <c r="C584" s="23"/>
      <c r="D584" s="23"/>
      <c r="E584" s="23"/>
      <c r="G584" s="24"/>
      <c r="H584" s="24"/>
      <c r="I584" s="25"/>
      <c r="J584" s="25"/>
      <c r="P584" s="26"/>
    </row>
    <row r="585">
      <c r="A585" s="22"/>
      <c r="B585" s="22"/>
      <c r="C585" s="23"/>
      <c r="D585" s="23"/>
      <c r="E585" s="23"/>
      <c r="G585" s="24"/>
      <c r="H585" s="24"/>
      <c r="I585" s="25"/>
      <c r="J585" s="25"/>
      <c r="P585" s="26"/>
    </row>
    <row r="586">
      <c r="A586" s="22"/>
      <c r="B586" s="22"/>
      <c r="C586" s="23"/>
      <c r="D586" s="23"/>
      <c r="E586" s="23"/>
      <c r="G586" s="24"/>
      <c r="H586" s="24"/>
      <c r="I586" s="25"/>
      <c r="J586" s="25"/>
      <c r="P586" s="26"/>
    </row>
    <row r="587">
      <c r="A587" s="22"/>
      <c r="B587" s="22"/>
      <c r="C587" s="23"/>
      <c r="D587" s="23"/>
      <c r="E587" s="23"/>
      <c r="G587" s="24"/>
      <c r="H587" s="24"/>
      <c r="I587" s="25"/>
      <c r="J587" s="25"/>
      <c r="P587" s="26"/>
    </row>
    <row r="588">
      <c r="A588" s="22"/>
      <c r="B588" s="22"/>
      <c r="C588" s="23"/>
      <c r="D588" s="23"/>
      <c r="E588" s="23"/>
      <c r="G588" s="24"/>
      <c r="H588" s="24"/>
      <c r="I588" s="25"/>
      <c r="J588" s="25"/>
      <c r="P588" s="26"/>
    </row>
    <row r="589">
      <c r="A589" s="22"/>
      <c r="B589" s="22"/>
      <c r="C589" s="23"/>
      <c r="D589" s="23"/>
      <c r="E589" s="23"/>
      <c r="G589" s="24"/>
      <c r="H589" s="24"/>
      <c r="I589" s="25"/>
      <c r="J589" s="25"/>
      <c r="P589" s="26"/>
    </row>
    <row r="590">
      <c r="A590" s="22"/>
      <c r="B590" s="22"/>
      <c r="C590" s="23"/>
      <c r="D590" s="23"/>
      <c r="E590" s="23"/>
      <c r="G590" s="24"/>
      <c r="H590" s="24"/>
      <c r="I590" s="25"/>
      <c r="J590" s="25"/>
      <c r="P590" s="26"/>
    </row>
    <row r="591">
      <c r="A591" s="22"/>
      <c r="B591" s="22"/>
      <c r="C591" s="23"/>
      <c r="D591" s="23"/>
      <c r="E591" s="23"/>
      <c r="G591" s="24"/>
      <c r="H591" s="24"/>
      <c r="I591" s="25"/>
      <c r="J591" s="25"/>
      <c r="P591" s="26"/>
    </row>
    <row r="592">
      <c r="A592" s="22"/>
      <c r="B592" s="22"/>
      <c r="C592" s="23"/>
      <c r="D592" s="23"/>
      <c r="E592" s="23"/>
      <c r="G592" s="24"/>
      <c r="H592" s="24"/>
      <c r="I592" s="25"/>
      <c r="J592" s="25"/>
      <c r="P592" s="26"/>
    </row>
    <row r="593">
      <c r="A593" s="22"/>
      <c r="B593" s="22"/>
      <c r="C593" s="23"/>
      <c r="D593" s="23"/>
      <c r="E593" s="23"/>
      <c r="G593" s="24"/>
      <c r="H593" s="24"/>
      <c r="I593" s="25"/>
      <c r="J593" s="25"/>
      <c r="P593" s="26"/>
    </row>
    <row r="594">
      <c r="A594" s="22"/>
      <c r="B594" s="22"/>
      <c r="C594" s="23"/>
      <c r="D594" s="23"/>
      <c r="E594" s="23"/>
      <c r="G594" s="24"/>
      <c r="H594" s="24"/>
      <c r="I594" s="25"/>
      <c r="J594" s="25"/>
      <c r="P594" s="26"/>
    </row>
    <row r="595">
      <c r="A595" s="22"/>
      <c r="B595" s="22"/>
      <c r="C595" s="23"/>
      <c r="D595" s="23"/>
      <c r="E595" s="23"/>
      <c r="G595" s="24"/>
      <c r="H595" s="24"/>
      <c r="I595" s="25"/>
      <c r="J595" s="25"/>
      <c r="P595" s="26"/>
    </row>
    <row r="596">
      <c r="A596" s="22"/>
      <c r="B596" s="22"/>
      <c r="C596" s="23"/>
      <c r="D596" s="23"/>
      <c r="E596" s="23"/>
      <c r="G596" s="24"/>
      <c r="H596" s="24"/>
      <c r="I596" s="25"/>
      <c r="J596" s="25"/>
      <c r="P596" s="26"/>
    </row>
    <row r="597">
      <c r="A597" s="22"/>
      <c r="B597" s="22"/>
      <c r="C597" s="23"/>
      <c r="D597" s="23"/>
      <c r="E597" s="23"/>
      <c r="G597" s="24"/>
      <c r="H597" s="24"/>
      <c r="I597" s="25"/>
      <c r="J597" s="25"/>
      <c r="P597" s="26"/>
    </row>
    <row r="598">
      <c r="A598" s="22"/>
      <c r="B598" s="22"/>
      <c r="C598" s="23"/>
      <c r="D598" s="23"/>
      <c r="E598" s="23"/>
      <c r="G598" s="24"/>
      <c r="H598" s="24"/>
      <c r="I598" s="25"/>
      <c r="J598" s="25"/>
      <c r="P598" s="26"/>
    </row>
    <row r="599">
      <c r="A599" s="22"/>
      <c r="B599" s="22"/>
      <c r="C599" s="23"/>
      <c r="D599" s="23"/>
      <c r="E599" s="23"/>
      <c r="G599" s="24"/>
      <c r="H599" s="24"/>
      <c r="I599" s="25"/>
      <c r="J599" s="25"/>
      <c r="P599" s="26"/>
    </row>
    <row r="600">
      <c r="A600" s="22"/>
      <c r="B600" s="22"/>
      <c r="C600" s="23"/>
      <c r="D600" s="23"/>
      <c r="E600" s="23"/>
      <c r="G600" s="24"/>
      <c r="H600" s="24"/>
      <c r="I600" s="25"/>
      <c r="J600" s="25"/>
      <c r="P600" s="26"/>
    </row>
    <row r="601">
      <c r="A601" s="22"/>
      <c r="B601" s="22"/>
      <c r="C601" s="23"/>
      <c r="D601" s="23"/>
      <c r="E601" s="23"/>
      <c r="G601" s="24"/>
      <c r="H601" s="24"/>
      <c r="I601" s="25"/>
      <c r="J601" s="25"/>
      <c r="P601" s="26"/>
    </row>
    <row r="602">
      <c r="A602" s="22"/>
      <c r="B602" s="22"/>
      <c r="C602" s="23"/>
      <c r="D602" s="23"/>
      <c r="E602" s="23"/>
      <c r="G602" s="24"/>
      <c r="H602" s="24"/>
      <c r="I602" s="25"/>
      <c r="J602" s="25"/>
      <c r="P602" s="26"/>
    </row>
    <row r="603">
      <c r="A603" s="22"/>
      <c r="B603" s="22"/>
      <c r="C603" s="23"/>
      <c r="D603" s="23"/>
      <c r="E603" s="23"/>
      <c r="G603" s="24"/>
      <c r="H603" s="24"/>
      <c r="I603" s="25"/>
      <c r="J603" s="25"/>
      <c r="P603" s="26"/>
    </row>
    <row r="604">
      <c r="A604" s="22"/>
      <c r="B604" s="22"/>
      <c r="C604" s="23"/>
      <c r="D604" s="23"/>
      <c r="E604" s="23"/>
      <c r="G604" s="24"/>
      <c r="H604" s="24"/>
      <c r="I604" s="25"/>
      <c r="J604" s="25"/>
      <c r="P604" s="26"/>
    </row>
    <row r="605">
      <c r="A605" s="22"/>
      <c r="B605" s="22"/>
      <c r="C605" s="23"/>
      <c r="D605" s="23"/>
      <c r="E605" s="23"/>
      <c r="G605" s="24"/>
      <c r="H605" s="24"/>
      <c r="I605" s="25"/>
      <c r="J605" s="25"/>
      <c r="P605" s="26"/>
    </row>
    <row r="606">
      <c r="A606" s="22"/>
      <c r="B606" s="22"/>
      <c r="C606" s="23"/>
      <c r="D606" s="23"/>
      <c r="E606" s="23"/>
      <c r="G606" s="24"/>
      <c r="H606" s="24"/>
      <c r="I606" s="25"/>
      <c r="J606" s="25"/>
      <c r="P606" s="26"/>
    </row>
    <row r="607">
      <c r="A607" s="22"/>
      <c r="B607" s="22"/>
      <c r="C607" s="23"/>
      <c r="D607" s="23"/>
      <c r="E607" s="23"/>
      <c r="G607" s="24"/>
      <c r="H607" s="24"/>
      <c r="I607" s="25"/>
      <c r="J607" s="25"/>
      <c r="P607" s="26"/>
    </row>
    <row r="608">
      <c r="A608" s="22"/>
      <c r="B608" s="22"/>
      <c r="C608" s="23"/>
      <c r="D608" s="23"/>
      <c r="E608" s="23"/>
      <c r="G608" s="24"/>
      <c r="H608" s="24"/>
      <c r="I608" s="25"/>
      <c r="J608" s="25"/>
      <c r="P608" s="26"/>
    </row>
    <row r="609">
      <c r="A609" s="22"/>
      <c r="B609" s="22"/>
      <c r="C609" s="23"/>
      <c r="D609" s="23"/>
      <c r="E609" s="23"/>
      <c r="G609" s="24"/>
      <c r="H609" s="24"/>
      <c r="I609" s="25"/>
      <c r="J609" s="25"/>
      <c r="P609" s="26"/>
    </row>
    <row r="610">
      <c r="A610" s="22"/>
      <c r="B610" s="22"/>
      <c r="C610" s="23"/>
      <c r="D610" s="23"/>
      <c r="E610" s="23"/>
      <c r="G610" s="24"/>
      <c r="H610" s="24"/>
      <c r="I610" s="25"/>
      <c r="J610" s="25"/>
      <c r="P610" s="26"/>
    </row>
    <row r="611">
      <c r="A611" s="22"/>
      <c r="B611" s="22"/>
      <c r="C611" s="23"/>
      <c r="D611" s="23"/>
      <c r="E611" s="23"/>
      <c r="G611" s="24"/>
      <c r="H611" s="24"/>
      <c r="I611" s="25"/>
      <c r="J611" s="25"/>
      <c r="P611" s="26"/>
    </row>
    <row r="612">
      <c r="A612" s="22"/>
      <c r="B612" s="22"/>
      <c r="C612" s="23"/>
      <c r="D612" s="23"/>
      <c r="E612" s="23"/>
      <c r="G612" s="24"/>
      <c r="H612" s="24"/>
      <c r="I612" s="25"/>
      <c r="J612" s="25"/>
      <c r="P612" s="26"/>
    </row>
    <row r="613">
      <c r="A613" s="22"/>
      <c r="B613" s="22"/>
      <c r="C613" s="23"/>
      <c r="D613" s="23"/>
      <c r="E613" s="23"/>
      <c r="G613" s="24"/>
      <c r="H613" s="24"/>
      <c r="I613" s="25"/>
      <c r="J613" s="25"/>
      <c r="P613" s="26"/>
    </row>
    <row r="614">
      <c r="A614" s="22"/>
      <c r="B614" s="22"/>
      <c r="C614" s="23"/>
      <c r="D614" s="23"/>
      <c r="E614" s="23"/>
      <c r="G614" s="24"/>
      <c r="H614" s="24"/>
      <c r="I614" s="25"/>
      <c r="J614" s="25"/>
      <c r="P614" s="26"/>
    </row>
    <row r="615">
      <c r="A615" s="22"/>
      <c r="B615" s="22"/>
      <c r="C615" s="23"/>
      <c r="D615" s="23"/>
      <c r="E615" s="23"/>
      <c r="G615" s="24"/>
      <c r="H615" s="24"/>
      <c r="I615" s="25"/>
      <c r="J615" s="25"/>
      <c r="P615" s="26"/>
    </row>
    <row r="616">
      <c r="A616" s="22"/>
      <c r="B616" s="22"/>
      <c r="C616" s="23"/>
      <c r="D616" s="23"/>
      <c r="E616" s="23"/>
      <c r="G616" s="24"/>
      <c r="H616" s="24"/>
      <c r="I616" s="25"/>
      <c r="J616" s="25"/>
      <c r="P616" s="26"/>
    </row>
    <row r="617">
      <c r="A617" s="22"/>
      <c r="B617" s="22"/>
      <c r="C617" s="23"/>
      <c r="D617" s="23"/>
      <c r="E617" s="23"/>
      <c r="G617" s="24"/>
      <c r="H617" s="24"/>
      <c r="I617" s="25"/>
      <c r="J617" s="25"/>
      <c r="P617" s="26"/>
    </row>
    <row r="618">
      <c r="A618" s="22"/>
      <c r="B618" s="22"/>
      <c r="C618" s="23"/>
      <c r="D618" s="23"/>
      <c r="E618" s="23"/>
      <c r="G618" s="24"/>
      <c r="H618" s="24"/>
      <c r="I618" s="25"/>
      <c r="J618" s="25"/>
      <c r="P618" s="26"/>
    </row>
    <row r="619">
      <c r="A619" s="22"/>
      <c r="B619" s="22"/>
      <c r="C619" s="23"/>
      <c r="D619" s="23"/>
      <c r="E619" s="23"/>
      <c r="G619" s="24"/>
      <c r="H619" s="24"/>
      <c r="I619" s="25"/>
      <c r="J619" s="25"/>
      <c r="P619" s="26"/>
    </row>
    <row r="620">
      <c r="A620" s="22"/>
      <c r="B620" s="22"/>
      <c r="C620" s="23"/>
      <c r="D620" s="23"/>
      <c r="E620" s="23"/>
      <c r="G620" s="24"/>
      <c r="H620" s="24"/>
      <c r="I620" s="25"/>
      <c r="J620" s="25"/>
      <c r="P620" s="26"/>
    </row>
    <row r="621">
      <c r="A621" s="22"/>
      <c r="B621" s="22"/>
      <c r="C621" s="23"/>
      <c r="D621" s="23"/>
      <c r="E621" s="23"/>
      <c r="G621" s="24"/>
      <c r="H621" s="24"/>
      <c r="I621" s="25"/>
      <c r="J621" s="25"/>
      <c r="P621" s="26"/>
    </row>
    <row r="622">
      <c r="A622" s="22"/>
      <c r="B622" s="22"/>
      <c r="C622" s="23"/>
      <c r="D622" s="23"/>
      <c r="E622" s="23"/>
      <c r="G622" s="24"/>
      <c r="H622" s="24"/>
      <c r="I622" s="25"/>
      <c r="J622" s="25"/>
      <c r="P622" s="26"/>
    </row>
    <row r="623">
      <c r="A623" s="22"/>
      <c r="B623" s="22"/>
      <c r="C623" s="23"/>
      <c r="D623" s="23"/>
      <c r="E623" s="23"/>
      <c r="G623" s="24"/>
      <c r="H623" s="24"/>
      <c r="I623" s="25"/>
      <c r="J623" s="25"/>
      <c r="P623" s="26"/>
    </row>
    <row r="624">
      <c r="A624" s="22"/>
      <c r="B624" s="22"/>
      <c r="C624" s="23"/>
      <c r="D624" s="23"/>
      <c r="E624" s="23"/>
      <c r="G624" s="24"/>
      <c r="H624" s="24"/>
      <c r="I624" s="25"/>
      <c r="J624" s="25"/>
      <c r="P624" s="26"/>
    </row>
    <row r="625">
      <c r="A625" s="22"/>
      <c r="B625" s="22"/>
      <c r="C625" s="23"/>
      <c r="D625" s="23"/>
      <c r="E625" s="23"/>
      <c r="G625" s="24"/>
      <c r="H625" s="24"/>
      <c r="I625" s="25"/>
      <c r="J625" s="25"/>
      <c r="P625" s="26"/>
    </row>
    <row r="626">
      <c r="A626" s="22"/>
      <c r="B626" s="22"/>
      <c r="C626" s="23"/>
      <c r="D626" s="23"/>
      <c r="E626" s="23"/>
      <c r="G626" s="24"/>
      <c r="H626" s="24"/>
      <c r="I626" s="25"/>
      <c r="J626" s="25"/>
      <c r="P626" s="26"/>
    </row>
    <row r="627">
      <c r="A627" s="22"/>
      <c r="B627" s="22"/>
      <c r="C627" s="23"/>
      <c r="D627" s="23"/>
      <c r="E627" s="23"/>
      <c r="G627" s="24"/>
      <c r="H627" s="24"/>
      <c r="I627" s="25"/>
      <c r="J627" s="25"/>
      <c r="P627" s="26"/>
    </row>
    <row r="628">
      <c r="A628" s="22"/>
      <c r="B628" s="22"/>
      <c r="C628" s="23"/>
      <c r="D628" s="23"/>
      <c r="E628" s="23"/>
      <c r="G628" s="24"/>
      <c r="H628" s="24"/>
      <c r="I628" s="25"/>
      <c r="J628" s="25"/>
      <c r="P628" s="26"/>
    </row>
    <row r="629">
      <c r="A629" s="22"/>
      <c r="B629" s="22"/>
      <c r="C629" s="23"/>
      <c r="D629" s="23"/>
      <c r="E629" s="23"/>
      <c r="G629" s="24"/>
      <c r="H629" s="24"/>
      <c r="I629" s="25"/>
      <c r="J629" s="25"/>
      <c r="P629" s="26"/>
    </row>
    <row r="630">
      <c r="A630" s="22"/>
      <c r="B630" s="22"/>
      <c r="C630" s="23"/>
      <c r="D630" s="23"/>
      <c r="E630" s="23"/>
      <c r="G630" s="24"/>
      <c r="H630" s="24"/>
      <c r="I630" s="25"/>
      <c r="J630" s="25"/>
      <c r="P630" s="26"/>
    </row>
    <row r="631">
      <c r="A631" s="22"/>
      <c r="B631" s="22"/>
      <c r="C631" s="23"/>
      <c r="D631" s="23"/>
      <c r="E631" s="23"/>
      <c r="G631" s="24"/>
      <c r="H631" s="24"/>
      <c r="I631" s="25"/>
      <c r="J631" s="25"/>
      <c r="P631" s="26"/>
    </row>
    <row r="632">
      <c r="A632" s="22"/>
      <c r="B632" s="22"/>
      <c r="C632" s="23"/>
      <c r="D632" s="23"/>
      <c r="E632" s="23"/>
      <c r="G632" s="24"/>
      <c r="H632" s="24"/>
      <c r="I632" s="25"/>
      <c r="J632" s="25"/>
      <c r="P632" s="26"/>
    </row>
    <row r="633">
      <c r="A633" s="22"/>
      <c r="B633" s="22"/>
      <c r="C633" s="23"/>
      <c r="D633" s="23"/>
      <c r="E633" s="23"/>
      <c r="G633" s="24"/>
      <c r="H633" s="24"/>
      <c r="I633" s="25"/>
      <c r="J633" s="25"/>
      <c r="P633" s="26"/>
    </row>
    <row r="634">
      <c r="A634" s="22"/>
      <c r="B634" s="22"/>
      <c r="C634" s="23"/>
      <c r="D634" s="23"/>
      <c r="E634" s="23"/>
      <c r="G634" s="24"/>
      <c r="H634" s="24"/>
      <c r="I634" s="25"/>
      <c r="J634" s="25"/>
      <c r="P634" s="26"/>
    </row>
    <row r="635">
      <c r="A635" s="22"/>
      <c r="B635" s="22"/>
      <c r="C635" s="23"/>
      <c r="D635" s="23"/>
      <c r="E635" s="23"/>
      <c r="G635" s="24"/>
      <c r="H635" s="24"/>
      <c r="I635" s="25"/>
      <c r="J635" s="25"/>
      <c r="P635" s="26"/>
    </row>
    <row r="636">
      <c r="A636" s="22"/>
      <c r="B636" s="22"/>
      <c r="C636" s="23"/>
      <c r="D636" s="23"/>
      <c r="E636" s="23"/>
      <c r="G636" s="24"/>
      <c r="H636" s="24"/>
      <c r="I636" s="25"/>
      <c r="J636" s="25"/>
      <c r="P636" s="26"/>
    </row>
    <row r="637">
      <c r="A637" s="22"/>
      <c r="B637" s="22"/>
      <c r="C637" s="23"/>
      <c r="D637" s="23"/>
      <c r="E637" s="23"/>
      <c r="G637" s="24"/>
      <c r="H637" s="24"/>
      <c r="I637" s="25"/>
      <c r="J637" s="25"/>
      <c r="P637" s="26"/>
    </row>
    <row r="638">
      <c r="A638" s="22"/>
      <c r="B638" s="22"/>
      <c r="C638" s="23"/>
      <c r="D638" s="23"/>
      <c r="E638" s="23"/>
      <c r="G638" s="24"/>
      <c r="H638" s="24"/>
      <c r="I638" s="25"/>
      <c r="J638" s="25"/>
      <c r="P638" s="26"/>
    </row>
    <row r="639">
      <c r="A639" s="22"/>
      <c r="B639" s="22"/>
      <c r="C639" s="23"/>
      <c r="D639" s="23"/>
      <c r="E639" s="23"/>
      <c r="G639" s="24"/>
      <c r="H639" s="24"/>
      <c r="I639" s="25"/>
      <c r="J639" s="25"/>
      <c r="P639" s="26"/>
    </row>
    <row r="640">
      <c r="A640" s="22"/>
      <c r="B640" s="22"/>
      <c r="C640" s="23"/>
      <c r="D640" s="23"/>
      <c r="E640" s="23"/>
      <c r="G640" s="24"/>
      <c r="H640" s="24"/>
      <c r="I640" s="25"/>
      <c r="J640" s="25"/>
      <c r="P640" s="26"/>
    </row>
    <row r="641">
      <c r="A641" s="22"/>
      <c r="B641" s="22"/>
      <c r="C641" s="23"/>
      <c r="D641" s="23"/>
      <c r="E641" s="23"/>
      <c r="G641" s="24"/>
      <c r="H641" s="24"/>
      <c r="I641" s="25"/>
      <c r="J641" s="25"/>
      <c r="P641" s="26"/>
    </row>
    <row r="642">
      <c r="A642" s="22"/>
      <c r="B642" s="22"/>
      <c r="C642" s="23"/>
      <c r="D642" s="23"/>
      <c r="E642" s="23"/>
      <c r="G642" s="24"/>
      <c r="H642" s="24"/>
      <c r="I642" s="25"/>
      <c r="J642" s="25"/>
      <c r="P642" s="26"/>
    </row>
    <row r="643">
      <c r="A643" s="22"/>
      <c r="B643" s="22"/>
      <c r="C643" s="23"/>
      <c r="D643" s="23"/>
      <c r="E643" s="23"/>
      <c r="G643" s="24"/>
      <c r="H643" s="24"/>
      <c r="I643" s="25"/>
      <c r="J643" s="25"/>
      <c r="P643" s="26"/>
    </row>
    <row r="644">
      <c r="A644" s="22"/>
      <c r="B644" s="22"/>
      <c r="C644" s="23"/>
      <c r="D644" s="23"/>
      <c r="E644" s="23"/>
      <c r="G644" s="24"/>
      <c r="H644" s="24"/>
      <c r="I644" s="25"/>
      <c r="J644" s="25"/>
      <c r="P644" s="26"/>
    </row>
    <row r="645">
      <c r="A645" s="22"/>
      <c r="B645" s="22"/>
      <c r="C645" s="23"/>
      <c r="D645" s="23"/>
      <c r="E645" s="23"/>
      <c r="G645" s="24"/>
      <c r="H645" s="24"/>
      <c r="I645" s="25"/>
      <c r="J645" s="25"/>
      <c r="P645" s="26"/>
    </row>
    <row r="646">
      <c r="A646" s="22"/>
      <c r="B646" s="22"/>
      <c r="C646" s="23"/>
      <c r="D646" s="23"/>
      <c r="E646" s="23"/>
      <c r="G646" s="24"/>
      <c r="H646" s="24"/>
      <c r="I646" s="25"/>
      <c r="J646" s="25"/>
      <c r="P646" s="26"/>
    </row>
    <row r="647">
      <c r="A647" s="22"/>
      <c r="B647" s="22"/>
      <c r="C647" s="23"/>
      <c r="D647" s="23"/>
      <c r="E647" s="23"/>
      <c r="G647" s="24"/>
      <c r="H647" s="24"/>
      <c r="I647" s="25"/>
      <c r="J647" s="25"/>
      <c r="P647" s="26"/>
    </row>
    <row r="648">
      <c r="A648" s="22"/>
      <c r="B648" s="22"/>
      <c r="C648" s="23"/>
      <c r="D648" s="23"/>
      <c r="E648" s="23"/>
      <c r="G648" s="24"/>
      <c r="H648" s="24"/>
      <c r="I648" s="25"/>
      <c r="J648" s="25"/>
      <c r="P648" s="26"/>
    </row>
    <row r="649">
      <c r="A649" s="22"/>
      <c r="B649" s="22"/>
      <c r="C649" s="23"/>
      <c r="D649" s="23"/>
      <c r="E649" s="23"/>
      <c r="G649" s="24"/>
      <c r="H649" s="24"/>
      <c r="I649" s="25"/>
      <c r="J649" s="25"/>
      <c r="P649" s="26"/>
    </row>
    <row r="650">
      <c r="A650" s="22"/>
      <c r="B650" s="22"/>
      <c r="C650" s="23"/>
      <c r="D650" s="23"/>
      <c r="E650" s="23"/>
      <c r="G650" s="24"/>
      <c r="H650" s="24"/>
      <c r="I650" s="25"/>
      <c r="J650" s="25"/>
      <c r="P650" s="26"/>
    </row>
    <row r="651">
      <c r="A651" s="22"/>
      <c r="B651" s="22"/>
      <c r="C651" s="23"/>
      <c r="D651" s="23"/>
      <c r="E651" s="23"/>
      <c r="G651" s="24"/>
      <c r="H651" s="24"/>
      <c r="I651" s="25"/>
      <c r="J651" s="25"/>
      <c r="P651" s="26"/>
    </row>
    <row r="652">
      <c r="A652" s="22"/>
      <c r="B652" s="22"/>
      <c r="C652" s="23"/>
      <c r="D652" s="23"/>
      <c r="E652" s="23"/>
      <c r="G652" s="24"/>
      <c r="H652" s="24"/>
      <c r="I652" s="25"/>
      <c r="J652" s="25"/>
      <c r="P652" s="26"/>
    </row>
    <row r="653">
      <c r="A653" s="22"/>
      <c r="B653" s="22"/>
      <c r="C653" s="23"/>
      <c r="D653" s="23"/>
      <c r="E653" s="23"/>
      <c r="G653" s="24"/>
      <c r="H653" s="24"/>
      <c r="I653" s="25"/>
      <c r="J653" s="25"/>
      <c r="P653" s="26"/>
    </row>
    <row r="654">
      <c r="A654" s="22"/>
      <c r="B654" s="22"/>
      <c r="C654" s="23"/>
      <c r="D654" s="23"/>
      <c r="E654" s="23"/>
      <c r="G654" s="24"/>
      <c r="H654" s="24"/>
      <c r="I654" s="25"/>
      <c r="J654" s="25"/>
      <c r="P654" s="26"/>
    </row>
    <row r="655">
      <c r="A655" s="22"/>
      <c r="B655" s="22"/>
      <c r="C655" s="23"/>
      <c r="D655" s="23"/>
      <c r="E655" s="23"/>
      <c r="G655" s="24"/>
      <c r="H655" s="24"/>
      <c r="I655" s="25"/>
      <c r="J655" s="25"/>
      <c r="P655" s="26"/>
    </row>
    <row r="656">
      <c r="A656" s="22"/>
      <c r="B656" s="22"/>
      <c r="C656" s="23"/>
      <c r="D656" s="23"/>
      <c r="E656" s="23"/>
      <c r="G656" s="24"/>
      <c r="H656" s="24"/>
      <c r="I656" s="25"/>
      <c r="J656" s="25"/>
      <c r="P656" s="26"/>
    </row>
    <row r="657">
      <c r="A657" s="22"/>
      <c r="B657" s="22"/>
      <c r="C657" s="23"/>
      <c r="D657" s="23"/>
      <c r="E657" s="23"/>
      <c r="G657" s="24"/>
      <c r="H657" s="24"/>
      <c r="I657" s="25"/>
      <c r="J657" s="25"/>
      <c r="P657" s="26"/>
    </row>
    <row r="658">
      <c r="A658" s="22"/>
      <c r="B658" s="22"/>
      <c r="C658" s="23"/>
      <c r="D658" s="23"/>
      <c r="E658" s="23"/>
      <c r="G658" s="24"/>
      <c r="H658" s="24"/>
      <c r="I658" s="25"/>
      <c r="J658" s="25"/>
      <c r="P658" s="26"/>
    </row>
    <row r="659">
      <c r="A659" s="22"/>
      <c r="B659" s="22"/>
      <c r="C659" s="23"/>
      <c r="D659" s="23"/>
      <c r="E659" s="23"/>
      <c r="G659" s="24"/>
      <c r="H659" s="24"/>
      <c r="I659" s="25"/>
      <c r="J659" s="25"/>
      <c r="P659" s="26"/>
    </row>
    <row r="660">
      <c r="A660" s="22"/>
      <c r="B660" s="22"/>
      <c r="C660" s="23"/>
      <c r="D660" s="23"/>
      <c r="E660" s="23"/>
      <c r="G660" s="24"/>
      <c r="H660" s="24"/>
      <c r="I660" s="25"/>
      <c r="J660" s="25"/>
      <c r="P660" s="26"/>
    </row>
    <row r="661">
      <c r="A661" s="22"/>
      <c r="B661" s="22"/>
      <c r="C661" s="23"/>
      <c r="D661" s="23"/>
      <c r="E661" s="23"/>
      <c r="G661" s="24"/>
      <c r="H661" s="24"/>
      <c r="I661" s="25"/>
      <c r="J661" s="25"/>
      <c r="P661" s="26"/>
    </row>
    <row r="662">
      <c r="A662" s="22"/>
      <c r="B662" s="22"/>
      <c r="C662" s="23"/>
      <c r="D662" s="23"/>
      <c r="E662" s="23"/>
      <c r="G662" s="24"/>
      <c r="H662" s="24"/>
      <c r="I662" s="25"/>
      <c r="J662" s="25"/>
      <c r="P662" s="26"/>
    </row>
    <row r="663">
      <c r="A663" s="22"/>
      <c r="B663" s="22"/>
      <c r="C663" s="23"/>
      <c r="D663" s="23"/>
      <c r="E663" s="23"/>
      <c r="G663" s="24"/>
      <c r="H663" s="24"/>
      <c r="I663" s="25"/>
      <c r="J663" s="25"/>
      <c r="P663" s="26"/>
    </row>
    <row r="664">
      <c r="A664" s="22"/>
      <c r="B664" s="22"/>
      <c r="C664" s="23"/>
      <c r="D664" s="23"/>
      <c r="E664" s="23"/>
      <c r="G664" s="24"/>
      <c r="H664" s="24"/>
      <c r="I664" s="25"/>
      <c r="J664" s="25"/>
      <c r="P664" s="26"/>
    </row>
    <row r="665">
      <c r="A665" s="22"/>
      <c r="B665" s="22"/>
      <c r="C665" s="23"/>
      <c r="D665" s="23"/>
      <c r="E665" s="23"/>
      <c r="G665" s="24"/>
      <c r="H665" s="24"/>
      <c r="I665" s="25"/>
      <c r="J665" s="25"/>
      <c r="P665" s="26"/>
    </row>
    <row r="666">
      <c r="A666" s="22"/>
      <c r="B666" s="22"/>
      <c r="C666" s="23"/>
      <c r="D666" s="23"/>
      <c r="E666" s="23"/>
      <c r="G666" s="24"/>
      <c r="H666" s="24"/>
      <c r="I666" s="25"/>
      <c r="J666" s="25"/>
      <c r="P666" s="26"/>
    </row>
    <row r="667">
      <c r="A667" s="22"/>
      <c r="B667" s="22"/>
      <c r="C667" s="23"/>
      <c r="D667" s="23"/>
      <c r="E667" s="23"/>
      <c r="G667" s="24"/>
      <c r="H667" s="24"/>
      <c r="I667" s="25"/>
      <c r="J667" s="25"/>
      <c r="P667" s="26"/>
    </row>
    <row r="668">
      <c r="A668" s="22"/>
      <c r="B668" s="22"/>
      <c r="C668" s="23"/>
      <c r="D668" s="23"/>
      <c r="E668" s="23"/>
      <c r="G668" s="24"/>
      <c r="H668" s="24"/>
      <c r="I668" s="25"/>
      <c r="J668" s="25"/>
      <c r="P668" s="26"/>
    </row>
    <row r="669">
      <c r="A669" s="22"/>
      <c r="B669" s="22"/>
      <c r="C669" s="23"/>
      <c r="D669" s="23"/>
      <c r="E669" s="23"/>
      <c r="G669" s="24"/>
      <c r="H669" s="24"/>
      <c r="I669" s="25"/>
      <c r="J669" s="25"/>
      <c r="P669" s="26"/>
    </row>
    <row r="670">
      <c r="A670" s="22"/>
      <c r="B670" s="22"/>
      <c r="C670" s="23"/>
      <c r="D670" s="23"/>
      <c r="E670" s="23"/>
      <c r="G670" s="24"/>
      <c r="H670" s="24"/>
      <c r="I670" s="25"/>
      <c r="J670" s="25"/>
      <c r="P670" s="26"/>
    </row>
    <row r="671">
      <c r="A671" s="22"/>
      <c r="B671" s="22"/>
      <c r="C671" s="23"/>
      <c r="D671" s="23"/>
      <c r="E671" s="23"/>
      <c r="G671" s="24"/>
      <c r="H671" s="24"/>
      <c r="I671" s="25"/>
      <c r="J671" s="25"/>
      <c r="P671" s="26"/>
    </row>
    <row r="672">
      <c r="A672" s="22"/>
      <c r="B672" s="22"/>
      <c r="C672" s="23"/>
      <c r="D672" s="23"/>
      <c r="E672" s="23"/>
      <c r="G672" s="24"/>
      <c r="H672" s="24"/>
      <c r="I672" s="25"/>
      <c r="J672" s="25"/>
      <c r="P672" s="26"/>
    </row>
    <row r="673">
      <c r="A673" s="22"/>
      <c r="B673" s="22"/>
      <c r="C673" s="23"/>
      <c r="D673" s="23"/>
      <c r="E673" s="23"/>
      <c r="G673" s="24"/>
      <c r="H673" s="24"/>
      <c r="I673" s="25"/>
      <c r="J673" s="25"/>
      <c r="P673" s="26"/>
    </row>
    <row r="674">
      <c r="A674" s="22"/>
      <c r="B674" s="22"/>
      <c r="C674" s="23"/>
      <c r="D674" s="23"/>
      <c r="E674" s="23"/>
      <c r="G674" s="24"/>
      <c r="H674" s="24"/>
      <c r="I674" s="25"/>
      <c r="J674" s="25"/>
      <c r="P674" s="26"/>
    </row>
    <row r="675">
      <c r="A675" s="22"/>
      <c r="B675" s="22"/>
      <c r="C675" s="23"/>
      <c r="D675" s="23"/>
      <c r="E675" s="23"/>
      <c r="G675" s="24"/>
      <c r="H675" s="24"/>
      <c r="I675" s="25"/>
      <c r="J675" s="25"/>
      <c r="P675" s="26"/>
    </row>
    <row r="676">
      <c r="A676" s="22"/>
      <c r="B676" s="22"/>
      <c r="C676" s="23"/>
      <c r="D676" s="23"/>
      <c r="E676" s="23"/>
      <c r="G676" s="24"/>
      <c r="H676" s="24"/>
      <c r="I676" s="25"/>
      <c r="J676" s="25"/>
      <c r="P676" s="26"/>
    </row>
    <row r="677">
      <c r="A677" s="22"/>
      <c r="B677" s="22"/>
      <c r="C677" s="23"/>
      <c r="D677" s="23"/>
      <c r="E677" s="23"/>
      <c r="G677" s="24"/>
      <c r="H677" s="24"/>
      <c r="I677" s="25"/>
      <c r="J677" s="25"/>
      <c r="P677" s="26"/>
    </row>
    <row r="678">
      <c r="A678" s="22"/>
      <c r="B678" s="22"/>
      <c r="C678" s="23"/>
      <c r="D678" s="23"/>
      <c r="E678" s="23"/>
      <c r="G678" s="24"/>
      <c r="H678" s="24"/>
      <c r="I678" s="25"/>
      <c r="J678" s="25"/>
      <c r="P678" s="26"/>
    </row>
    <row r="679">
      <c r="A679" s="22"/>
      <c r="B679" s="22"/>
      <c r="C679" s="23"/>
      <c r="D679" s="23"/>
      <c r="E679" s="23"/>
      <c r="G679" s="24"/>
      <c r="H679" s="24"/>
      <c r="I679" s="25"/>
      <c r="J679" s="25"/>
      <c r="P679" s="26"/>
    </row>
    <row r="680">
      <c r="A680" s="22"/>
      <c r="B680" s="22"/>
      <c r="C680" s="23"/>
      <c r="D680" s="23"/>
      <c r="E680" s="23"/>
      <c r="G680" s="24"/>
      <c r="H680" s="24"/>
      <c r="I680" s="25"/>
      <c r="J680" s="25"/>
      <c r="P680" s="26"/>
    </row>
    <row r="681">
      <c r="A681" s="22"/>
      <c r="B681" s="22"/>
      <c r="C681" s="23"/>
      <c r="D681" s="23"/>
      <c r="E681" s="23"/>
      <c r="G681" s="24"/>
      <c r="H681" s="24"/>
      <c r="I681" s="25"/>
      <c r="J681" s="25"/>
      <c r="P681" s="26"/>
    </row>
    <row r="682">
      <c r="A682" s="22"/>
      <c r="B682" s="22"/>
      <c r="C682" s="23"/>
      <c r="D682" s="23"/>
      <c r="E682" s="23"/>
      <c r="G682" s="24"/>
      <c r="H682" s="24"/>
      <c r="I682" s="25"/>
      <c r="J682" s="25"/>
      <c r="P682" s="26"/>
    </row>
    <row r="683">
      <c r="A683" s="22"/>
      <c r="B683" s="22"/>
      <c r="C683" s="23"/>
      <c r="D683" s="23"/>
      <c r="E683" s="23"/>
      <c r="G683" s="24"/>
      <c r="H683" s="24"/>
      <c r="I683" s="25"/>
      <c r="J683" s="25"/>
      <c r="P683" s="26"/>
    </row>
    <row r="684">
      <c r="A684" s="22"/>
      <c r="B684" s="22"/>
      <c r="C684" s="23"/>
      <c r="D684" s="23"/>
      <c r="E684" s="23"/>
      <c r="G684" s="24"/>
      <c r="H684" s="24"/>
      <c r="I684" s="25"/>
      <c r="J684" s="25"/>
      <c r="P684" s="26"/>
    </row>
    <row r="685">
      <c r="A685" s="22"/>
      <c r="B685" s="22"/>
      <c r="C685" s="23"/>
      <c r="D685" s="23"/>
      <c r="E685" s="23"/>
      <c r="G685" s="24"/>
      <c r="H685" s="24"/>
      <c r="I685" s="25"/>
      <c r="J685" s="25"/>
      <c r="P685" s="26"/>
    </row>
    <row r="686">
      <c r="A686" s="22"/>
      <c r="B686" s="22"/>
      <c r="C686" s="23"/>
      <c r="D686" s="23"/>
      <c r="E686" s="23"/>
      <c r="G686" s="24"/>
      <c r="H686" s="24"/>
      <c r="I686" s="25"/>
      <c r="J686" s="25"/>
      <c r="P686" s="26"/>
    </row>
    <row r="687">
      <c r="A687" s="22"/>
      <c r="B687" s="22"/>
      <c r="C687" s="23"/>
      <c r="D687" s="23"/>
      <c r="E687" s="23"/>
      <c r="G687" s="24"/>
      <c r="H687" s="24"/>
      <c r="I687" s="25"/>
      <c r="J687" s="25"/>
      <c r="P687" s="26"/>
    </row>
    <row r="688">
      <c r="A688" s="22"/>
      <c r="B688" s="22"/>
      <c r="C688" s="23"/>
      <c r="D688" s="23"/>
      <c r="E688" s="23"/>
      <c r="G688" s="24"/>
      <c r="H688" s="24"/>
      <c r="I688" s="25"/>
      <c r="J688" s="25"/>
      <c r="P688" s="26"/>
    </row>
    <row r="689">
      <c r="A689" s="22"/>
      <c r="B689" s="22"/>
      <c r="C689" s="23"/>
      <c r="D689" s="23"/>
      <c r="E689" s="23"/>
      <c r="G689" s="24"/>
      <c r="H689" s="24"/>
      <c r="I689" s="25"/>
      <c r="J689" s="25"/>
      <c r="P689" s="26"/>
    </row>
    <row r="690">
      <c r="A690" s="22"/>
      <c r="B690" s="22"/>
      <c r="C690" s="23"/>
      <c r="D690" s="23"/>
      <c r="E690" s="23"/>
      <c r="G690" s="24"/>
      <c r="H690" s="24"/>
      <c r="I690" s="25"/>
      <c r="J690" s="25"/>
      <c r="P690" s="26"/>
    </row>
    <row r="691">
      <c r="A691" s="22"/>
      <c r="B691" s="22"/>
      <c r="C691" s="23"/>
      <c r="D691" s="23"/>
      <c r="E691" s="23"/>
      <c r="G691" s="24"/>
      <c r="H691" s="24"/>
      <c r="I691" s="25"/>
      <c r="J691" s="25"/>
      <c r="P691" s="26"/>
    </row>
    <row r="692">
      <c r="A692" s="22"/>
      <c r="B692" s="22"/>
      <c r="C692" s="23"/>
      <c r="D692" s="23"/>
      <c r="E692" s="23"/>
      <c r="G692" s="24"/>
      <c r="H692" s="24"/>
      <c r="I692" s="25"/>
      <c r="J692" s="25"/>
      <c r="P692" s="26"/>
    </row>
    <row r="693">
      <c r="A693" s="22"/>
      <c r="B693" s="22"/>
      <c r="C693" s="23"/>
      <c r="D693" s="23"/>
      <c r="E693" s="23"/>
      <c r="G693" s="24"/>
      <c r="H693" s="24"/>
      <c r="I693" s="25"/>
      <c r="J693" s="25"/>
      <c r="P693" s="26"/>
    </row>
    <row r="694">
      <c r="A694" s="22"/>
      <c r="B694" s="22"/>
      <c r="C694" s="23"/>
      <c r="D694" s="23"/>
      <c r="E694" s="23"/>
      <c r="G694" s="24"/>
      <c r="H694" s="24"/>
      <c r="I694" s="25"/>
      <c r="J694" s="25"/>
      <c r="P694" s="26"/>
    </row>
    <row r="695">
      <c r="A695" s="22"/>
      <c r="B695" s="22"/>
      <c r="C695" s="23"/>
      <c r="D695" s="23"/>
      <c r="E695" s="23"/>
      <c r="G695" s="24"/>
      <c r="H695" s="24"/>
      <c r="I695" s="25"/>
      <c r="J695" s="25"/>
      <c r="P695" s="26"/>
    </row>
    <row r="696">
      <c r="A696" s="22"/>
      <c r="B696" s="22"/>
      <c r="C696" s="23"/>
      <c r="D696" s="23"/>
      <c r="E696" s="23"/>
      <c r="G696" s="24"/>
      <c r="H696" s="24"/>
      <c r="I696" s="25"/>
      <c r="J696" s="25"/>
      <c r="P696" s="26"/>
    </row>
    <row r="697">
      <c r="A697" s="22"/>
      <c r="B697" s="22"/>
      <c r="C697" s="23"/>
      <c r="D697" s="23"/>
      <c r="E697" s="23"/>
      <c r="G697" s="24"/>
      <c r="H697" s="24"/>
      <c r="I697" s="25"/>
      <c r="J697" s="25"/>
      <c r="P697" s="26"/>
    </row>
    <row r="698">
      <c r="A698" s="22"/>
      <c r="B698" s="22"/>
      <c r="C698" s="23"/>
      <c r="D698" s="23"/>
      <c r="E698" s="23"/>
      <c r="G698" s="24"/>
      <c r="H698" s="24"/>
      <c r="I698" s="25"/>
      <c r="J698" s="25"/>
      <c r="P698" s="26"/>
    </row>
    <row r="699">
      <c r="A699" s="22"/>
      <c r="B699" s="22"/>
      <c r="C699" s="23"/>
      <c r="D699" s="23"/>
      <c r="E699" s="23"/>
      <c r="G699" s="24"/>
      <c r="H699" s="24"/>
      <c r="I699" s="25"/>
      <c r="J699" s="25"/>
      <c r="P699" s="26"/>
    </row>
    <row r="700">
      <c r="A700" s="22"/>
      <c r="B700" s="22"/>
      <c r="C700" s="23"/>
      <c r="D700" s="23"/>
      <c r="E700" s="23"/>
      <c r="G700" s="24"/>
      <c r="H700" s="24"/>
      <c r="I700" s="25"/>
      <c r="J700" s="25"/>
      <c r="P700" s="26"/>
    </row>
    <row r="701">
      <c r="A701" s="22"/>
      <c r="B701" s="22"/>
      <c r="C701" s="23"/>
      <c r="D701" s="23"/>
      <c r="E701" s="23"/>
      <c r="G701" s="24"/>
      <c r="H701" s="24"/>
      <c r="I701" s="25"/>
      <c r="J701" s="25"/>
      <c r="P701" s="26"/>
    </row>
    <row r="702">
      <c r="A702" s="22"/>
      <c r="B702" s="22"/>
      <c r="C702" s="23"/>
      <c r="D702" s="23"/>
      <c r="E702" s="23"/>
      <c r="G702" s="24"/>
      <c r="H702" s="24"/>
      <c r="I702" s="25"/>
      <c r="J702" s="25"/>
      <c r="P702" s="26"/>
    </row>
    <row r="703">
      <c r="A703" s="22"/>
      <c r="B703" s="22"/>
      <c r="C703" s="23"/>
      <c r="D703" s="23"/>
      <c r="E703" s="23"/>
      <c r="G703" s="24"/>
      <c r="H703" s="24"/>
      <c r="I703" s="25"/>
      <c r="J703" s="25"/>
      <c r="P703" s="26"/>
    </row>
    <row r="704">
      <c r="A704" s="22"/>
      <c r="B704" s="22"/>
      <c r="C704" s="23"/>
      <c r="D704" s="23"/>
      <c r="E704" s="23"/>
      <c r="G704" s="24"/>
      <c r="H704" s="24"/>
      <c r="I704" s="25"/>
      <c r="J704" s="25"/>
      <c r="P704" s="26"/>
    </row>
    <row r="705">
      <c r="A705" s="22"/>
      <c r="B705" s="22"/>
      <c r="C705" s="23"/>
      <c r="D705" s="23"/>
      <c r="E705" s="23"/>
      <c r="G705" s="24"/>
      <c r="H705" s="24"/>
      <c r="I705" s="25"/>
      <c r="J705" s="25"/>
      <c r="P705" s="26"/>
    </row>
    <row r="706">
      <c r="A706" s="22"/>
      <c r="B706" s="22"/>
      <c r="C706" s="23"/>
      <c r="D706" s="23"/>
      <c r="E706" s="23"/>
      <c r="G706" s="24"/>
      <c r="H706" s="24"/>
      <c r="I706" s="25"/>
      <c r="J706" s="25"/>
      <c r="P706" s="26"/>
    </row>
    <row r="707">
      <c r="A707" s="22"/>
      <c r="B707" s="22"/>
      <c r="C707" s="23"/>
      <c r="D707" s="23"/>
      <c r="E707" s="23"/>
      <c r="G707" s="24"/>
      <c r="H707" s="24"/>
      <c r="I707" s="25"/>
      <c r="J707" s="25"/>
      <c r="P707" s="26"/>
    </row>
    <row r="708">
      <c r="A708" s="22"/>
      <c r="B708" s="22"/>
      <c r="C708" s="23"/>
      <c r="D708" s="23"/>
      <c r="E708" s="23"/>
      <c r="G708" s="24"/>
      <c r="H708" s="24"/>
      <c r="I708" s="25"/>
      <c r="J708" s="25"/>
      <c r="P708" s="26"/>
    </row>
    <row r="709">
      <c r="A709" s="22"/>
      <c r="B709" s="22"/>
      <c r="C709" s="23"/>
      <c r="D709" s="23"/>
      <c r="E709" s="23"/>
      <c r="G709" s="24"/>
      <c r="H709" s="24"/>
      <c r="I709" s="25"/>
      <c r="J709" s="25"/>
      <c r="P709" s="26"/>
    </row>
    <row r="710">
      <c r="A710" s="22"/>
      <c r="B710" s="22"/>
      <c r="C710" s="23"/>
      <c r="D710" s="23"/>
      <c r="E710" s="23"/>
      <c r="G710" s="24"/>
      <c r="H710" s="24"/>
      <c r="I710" s="25"/>
      <c r="J710" s="25"/>
      <c r="P710" s="26"/>
    </row>
    <row r="711">
      <c r="A711" s="22"/>
      <c r="B711" s="22"/>
      <c r="C711" s="23"/>
      <c r="D711" s="23"/>
      <c r="E711" s="23"/>
      <c r="G711" s="24"/>
      <c r="H711" s="24"/>
      <c r="I711" s="25"/>
      <c r="J711" s="25"/>
      <c r="P711" s="26"/>
    </row>
    <row r="712">
      <c r="A712" s="22"/>
      <c r="B712" s="22"/>
      <c r="C712" s="23"/>
      <c r="D712" s="23"/>
      <c r="E712" s="23"/>
      <c r="G712" s="24"/>
      <c r="H712" s="24"/>
      <c r="I712" s="25"/>
      <c r="J712" s="25"/>
      <c r="P712" s="26"/>
    </row>
    <row r="713">
      <c r="A713" s="22"/>
      <c r="B713" s="22"/>
      <c r="C713" s="23"/>
      <c r="D713" s="23"/>
      <c r="E713" s="23"/>
      <c r="G713" s="24"/>
      <c r="H713" s="24"/>
      <c r="I713" s="25"/>
      <c r="J713" s="25"/>
      <c r="P713" s="26"/>
    </row>
    <row r="714">
      <c r="A714" s="22"/>
      <c r="B714" s="22"/>
      <c r="C714" s="23"/>
      <c r="D714" s="23"/>
      <c r="E714" s="23"/>
      <c r="G714" s="24"/>
      <c r="H714" s="24"/>
      <c r="I714" s="25"/>
      <c r="J714" s="25"/>
      <c r="P714" s="26"/>
    </row>
    <row r="715">
      <c r="A715" s="22"/>
      <c r="B715" s="22"/>
      <c r="C715" s="23"/>
      <c r="D715" s="23"/>
      <c r="E715" s="23"/>
      <c r="G715" s="24"/>
      <c r="H715" s="24"/>
      <c r="I715" s="25"/>
      <c r="J715" s="25"/>
      <c r="P715" s="26"/>
    </row>
    <row r="716">
      <c r="A716" s="22"/>
      <c r="B716" s="22"/>
      <c r="C716" s="23"/>
      <c r="D716" s="23"/>
      <c r="E716" s="23"/>
      <c r="G716" s="24"/>
      <c r="H716" s="24"/>
      <c r="I716" s="25"/>
      <c r="J716" s="25"/>
      <c r="P716" s="26"/>
    </row>
    <row r="717">
      <c r="A717" s="22"/>
      <c r="B717" s="22"/>
      <c r="C717" s="23"/>
      <c r="D717" s="23"/>
      <c r="E717" s="23"/>
      <c r="G717" s="24"/>
      <c r="H717" s="24"/>
      <c r="I717" s="25"/>
      <c r="J717" s="25"/>
      <c r="P717" s="26"/>
    </row>
    <row r="718">
      <c r="A718" s="22"/>
      <c r="B718" s="22"/>
      <c r="C718" s="23"/>
      <c r="D718" s="23"/>
      <c r="E718" s="23"/>
      <c r="G718" s="24"/>
      <c r="H718" s="24"/>
      <c r="I718" s="25"/>
      <c r="J718" s="25"/>
      <c r="P718" s="26"/>
    </row>
    <row r="719">
      <c r="A719" s="22"/>
      <c r="B719" s="22"/>
      <c r="C719" s="23"/>
      <c r="D719" s="23"/>
      <c r="E719" s="23"/>
      <c r="G719" s="24"/>
      <c r="H719" s="24"/>
      <c r="I719" s="25"/>
      <c r="J719" s="25"/>
      <c r="P719" s="26"/>
    </row>
    <row r="720">
      <c r="A720" s="22"/>
      <c r="B720" s="22"/>
      <c r="C720" s="23"/>
      <c r="D720" s="23"/>
      <c r="E720" s="23"/>
      <c r="G720" s="24"/>
      <c r="H720" s="24"/>
      <c r="I720" s="25"/>
      <c r="J720" s="25"/>
      <c r="P720" s="26"/>
    </row>
    <row r="721">
      <c r="A721" s="22"/>
      <c r="B721" s="22"/>
      <c r="C721" s="23"/>
      <c r="D721" s="23"/>
      <c r="E721" s="23"/>
      <c r="G721" s="24"/>
      <c r="H721" s="24"/>
      <c r="I721" s="25"/>
      <c r="J721" s="25"/>
      <c r="P721" s="26"/>
    </row>
    <row r="722">
      <c r="A722" s="22"/>
      <c r="B722" s="22"/>
      <c r="C722" s="23"/>
      <c r="D722" s="23"/>
      <c r="E722" s="23"/>
      <c r="G722" s="24"/>
      <c r="H722" s="24"/>
      <c r="I722" s="25"/>
      <c r="J722" s="25"/>
      <c r="P722" s="26"/>
    </row>
    <row r="723">
      <c r="A723" s="22"/>
      <c r="B723" s="22"/>
      <c r="C723" s="23"/>
      <c r="D723" s="23"/>
      <c r="E723" s="23"/>
      <c r="G723" s="24"/>
      <c r="H723" s="24"/>
      <c r="I723" s="25"/>
      <c r="J723" s="25"/>
      <c r="P723" s="26"/>
    </row>
    <row r="724">
      <c r="A724" s="22"/>
      <c r="B724" s="22"/>
      <c r="C724" s="23"/>
      <c r="D724" s="23"/>
      <c r="E724" s="23"/>
      <c r="G724" s="24"/>
      <c r="H724" s="24"/>
      <c r="I724" s="25"/>
      <c r="J724" s="25"/>
      <c r="P724" s="26"/>
    </row>
    <row r="725">
      <c r="A725" s="22"/>
      <c r="B725" s="22"/>
      <c r="C725" s="23"/>
      <c r="D725" s="23"/>
      <c r="E725" s="23"/>
      <c r="G725" s="24"/>
      <c r="H725" s="24"/>
      <c r="I725" s="25"/>
      <c r="J725" s="25"/>
      <c r="P725" s="26"/>
    </row>
    <row r="726">
      <c r="A726" s="22"/>
      <c r="B726" s="22"/>
      <c r="C726" s="23"/>
      <c r="D726" s="23"/>
      <c r="E726" s="23"/>
      <c r="G726" s="24"/>
      <c r="H726" s="24"/>
      <c r="I726" s="25"/>
      <c r="J726" s="25"/>
      <c r="P726" s="26"/>
    </row>
    <row r="727">
      <c r="A727" s="22"/>
      <c r="B727" s="22"/>
      <c r="C727" s="23"/>
      <c r="D727" s="23"/>
      <c r="E727" s="23"/>
      <c r="G727" s="24"/>
      <c r="H727" s="24"/>
      <c r="I727" s="25"/>
      <c r="J727" s="25"/>
      <c r="P727" s="26"/>
    </row>
    <row r="728">
      <c r="A728" s="22"/>
      <c r="B728" s="22"/>
      <c r="C728" s="23"/>
      <c r="D728" s="23"/>
      <c r="E728" s="23"/>
      <c r="G728" s="24"/>
      <c r="H728" s="24"/>
      <c r="I728" s="25"/>
      <c r="J728" s="25"/>
      <c r="P728" s="26"/>
    </row>
    <row r="729">
      <c r="A729" s="22"/>
      <c r="B729" s="22"/>
      <c r="C729" s="23"/>
      <c r="D729" s="23"/>
      <c r="E729" s="23"/>
      <c r="G729" s="24"/>
      <c r="H729" s="24"/>
      <c r="I729" s="25"/>
      <c r="J729" s="25"/>
      <c r="P729" s="26"/>
    </row>
    <row r="730">
      <c r="A730" s="22"/>
      <c r="B730" s="22"/>
      <c r="C730" s="23"/>
      <c r="D730" s="23"/>
      <c r="E730" s="23"/>
      <c r="G730" s="24"/>
      <c r="H730" s="24"/>
      <c r="I730" s="25"/>
      <c r="J730" s="25"/>
      <c r="P730" s="26"/>
    </row>
    <row r="731">
      <c r="A731" s="22"/>
      <c r="B731" s="22"/>
      <c r="C731" s="23"/>
      <c r="D731" s="23"/>
      <c r="E731" s="23"/>
      <c r="G731" s="24"/>
      <c r="H731" s="24"/>
      <c r="I731" s="25"/>
      <c r="J731" s="25"/>
      <c r="P731" s="26"/>
    </row>
    <row r="732">
      <c r="A732" s="22"/>
      <c r="B732" s="22"/>
      <c r="C732" s="23"/>
      <c r="D732" s="23"/>
      <c r="E732" s="23"/>
      <c r="G732" s="24"/>
      <c r="H732" s="24"/>
      <c r="I732" s="25"/>
      <c r="J732" s="25"/>
      <c r="P732" s="26"/>
    </row>
    <row r="733">
      <c r="A733" s="22"/>
      <c r="B733" s="22"/>
      <c r="C733" s="23"/>
      <c r="D733" s="23"/>
      <c r="E733" s="23"/>
      <c r="G733" s="24"/>
      <c r="H733" s="24"/>
      <c r="I733" s="25"/>
      <c r="J733" s="25"/>
      <c r="P733" s="26"/>
    </row>
    <row r="734">
      <c r="A734" s="22"/>
      <c r="B734" s="22"/>
      <c r="C734" s="23"/>
      <c r="D734" s="23"/>
      <c r="E734" s="23"/>
      <c r="G734" s="24"/>
      <c r="H734" s="24"/>
      <c r="I734" s="25"/>
      <c r="J734" s="25"/>
      <c r="P734" s="26"/>
    </row>
    <row r="735">
      <c r="A735" s="22"/>
      <c r="B735" s="22"/>
      <c r="C735" s="23"/>
      <c r="D735" s="23"/>
      <c r="E735" s="23"/>
      <c r="G735" s="24"/>
      <c r="H735" s="24"/>
      <c r="I735" s="25"/>
      <c r="J735" s="25"/>
      <c r="P735" s="26"/>
    </row>
    <row r="736">
      <c r="A736" s="22"/>
      <c r="B736" s="22"/>
      <c r="C736" s="23"/>
      <c r="D736" s="23"/>
      <c r="E736" s="23"/>
      <c r="G736" s="24"/>
      <c r="H736" s="24"/>
      <c r="I736" s="25"/>
      <c r="J736" s="25"/>
      <c r="P736" s="26"/>
    </row>
    <row r="737">
      <c r="A737" s="22"/>
      <c r="B737" s="22"/>
      <c r="C737" s="23"/>
      <c r="D737" s="23"/>
      <c r="E737" s="23"/>
      <c r="G737" s="24"/>
      <c r="H737" s="24"/>
      <c r="I737" s="25"/>
      <c r="J737" s="25"/>
      <c r="P737" s="26"/>
    </row>
    <row r="738">
      <c r="A738" s="22"/>
      <c r="B738" s="22"/>
      <c r="C738" s="23"/>
      <c r="D738" s="23"/>
      <c r="E738" s="23"/>
      <c r="G738" s="24"/>
      <c r="H738" s="24"/>
      <c r="I738" s="25"/>
      <c r="J738" s="25"/>
      <c r="P738" s="26"/>
    </row>
    <row r="739">
      <c r="A739" s="22"/>
      <c r="B739" s="22"/>
      <c r="C739" s="23"/>
      <c r="D739" s="23"/>
      <c r="E739" s="23"/>
      <c r="G739" s="24"/>
      <c r="H739" s="24"/>
      <c r="I739" s="25"/>
      <c r="J739" s="25"/>
      <c r="P739" s="26"/>
    </row>
    <row r="740">
      <c r="A740" s="22"/>
      <c r="B740" s="22"/>
      <c r="C740" s="23"/>
      <c r="D740" s="23"/>
      <c r="E740" s="23"/>
      <c r="G740" s="24"/>
      <c r="H740" s="24"/>
      <c r="I740" s="25"/>
      <c r="J740" s="25"/>
      <c r="P740" s="26"/>
    </row>
    <row r="741">
      <c r="A741" s="22"/>
      <c r="B741" s="22"/>
      <c r="C741" s="23"/>
      <c r="D741" s="23"/>
      <c r="E741" s="23"/>
      <c r="G741" s="24"/>
      <c r="H741" s="24"/>
      <c r="I741" s="25"/>
      <c r="J741" s="25"/>
      <c r="P741" s="26"/>
    </row>
    <row r="742">
      <c r="A742" s="22"/>
      <c r="B742" s="22"/>
      <c r="C742" s="23"/>
      <c r="D742" s="23"/>
      <c r="E742" s="23"/>
      <c r="G742" s="24"/>
      <c r="H742" s="24"/>
      <c r="I742" s="25"/>
      <c r="J742" s="25"/>
      <c r="P742" s="26"/>
    </row>
    <row r="743">
      <c r="A743" s="22"/>
      <c r="B743" s="22"/>
      <c r="C743" s="23"/>
      <c r="D743" s="23"/>
      <c r="E743" s="23"/>
      <c r="G743" s="24"/>
      <c r="H743" s="24"/>
      <c r="I743" s="25"/>
      <c r="J743" s="25"/>
      <c r="P743" s="26"/>
    </row>
    <row r="744">
      <c r="A744" s="22"/>
      <c r="B744" s="22"/>
      <c r="C744" s="23"/>
      <c r="D744" s="23"/>
      <c r="E744" s="23"/>
      <c r="G744" s="24"/>
      <c r="H744" s="24"/>
      <c r="I744" s="25"/>
      <c r="J744" s="25"/>
      <c r="P744" s="26"/>
    </row>
    <row r="745">
      <c r="A745" s="22"/>
      <c r="B745" s="22"/>
      <c r="C745" s="23"/>
      <c r="D745" s="23"/>
      <c r="E745" s="23"/>
      <c r="G745" s="24"/>
      <c r="H745" s="24"/>
      <c r="I745" s="25"/>
      <c r="J745" s="25"/>
      <c r="P745" s="26"/>
    </row>
    <row r="746">
      <c r="A746" s="22"/>
      <c r="B746" s="22"/>
      <c r="C746" s="23"/>
      <c r="D746" s="23"/>
      <c r="E746" s="23"/>
      <c r="G746" s="24"/>
      <c r="H746" s="24"/>
      <c r="I746" s="25"/>
      <c r="J746" s="25"/>
      <c r="P746" s="26"/>
    </row>
    <row r="747">
      <c r="A747" s="22"/>
      <c r="B747" s="22"/>
      <c r="C747" s="23"/>
      <c r="D747" s="23"/>
      <c r="E747" s="23"/>
      <c r="G747" s="24"/>
      <c r="H747" s="24"/>
      <c r="I747" s="25"/>
      <c r="J747" s="25"/>
      <c r="P747" s="26"/>
    </row>
    <row r="748">
      <c r="A748" s="22"/>
      <c r="B748" s="22"/>
      <c r="C748" s="23"/>
      <c r="D748" s="23"/>
      <c r="E748" s="23"/>
      <c r="G748" s="24"/>
      <c r="H748" s="24"/>
      <c r="I748" s="25"/>
      <c r="J748" s="25"/>
      <c r="P748" s="26"/>
    </row>
    <row r="749">
      <c r="A749" s="22"/>
      <c r="B749" s="22"/>
      <c r="C749" s="23"/>
      <c r="D749" s="23"/>
      <c r="E749" s="23"/>
      <c r="G749" s="24"/>
      <c r="H749" s="24"/>
      <c r="I749" s="25"/>
      <c r="J749" s="25"/>
      <c r="P749" s="26"/>
    </row>
    <row r="750">
      <c r="A750" s="22"/>
      <c r="B750" s="22"/>
      <c r="C750" s="23"/>
      <c r="D750" s="23"/>
      <c r="E750" s="23"/>
      <c r="G750" s="24"/>
      <c r="H750" s="24"/>
      <c r="I750" s="25"/>
      <c r="J750" s="25"/>
      <c r="P750" s="26"/>
    </row>
    <row r="751">
      <c r="A751" s="22"/>
      <c r="B751" s="22"/>
      <c r="C751" s="23"/>
      <c r="D751" s="23"/>
      <c r="E751" s="23"/>
      <c r="G751" s="24"/>
      <c r="H751" s="24"/>
      <c r="I751" s="25"/>
      <c r="J751" s="25"/>
      <c r="P751" s="26"/>
    </row>
    <row r="752">
      <c r="A752" s="22"/>
      <c r="B752" s="22"/>
      <c r="C752" s="23"/>
      <c r="D752" s="23"/>
      <c r="E752" s="23"/>
      <c r="G752" s="24"/>
      <c r="H752" s="24"/>
      <c r="I752" s="25"/>
      <c r="J752" s="25"/>
      <c r="P752" s="26"/>
    </row>
    <row r="753">
      <c r="A753" s="22"/>
      <c r="B753" s="22"/>
      <c r="C753" s="23"/>
      <c r="D753" s="23"/>
      <c r="E753" s="23"/>
      <c r="G753" s="24"/>
      <c r="H753" s="24"/>
      <c r="I753" s="25"/>
      <c r="J753" s="25"/>
      <c r="P753" s="26"/>
    </row>
    <row r="754">
      <c r="A754" s="22"/>
      <c r="B754" s="22"/>
      <c r="C754" s="23"/>
      <c r="D754" s="23"/>
      <c r="E754" s="23"/>
      <c r="G754" s="24"/>
      <c r="H754" s="24"/>
      <c r="I754" s="25"/>
      <c r="J754" s="25"/>
      <c r="P754" s="26"/>
    </row>
    <row r="755">
      <c r="A755" s="22"/>
      <c r="B755" s="22"/>
      <c r="C755" s="23"/>
      <c r="D755" s="23"/>
      <c r="E755" s="23"/>
      <c r="G755" s="24"/>
      <c r="H755" s="24"/>
      <c r="I755" s="25"/>
      <c r="J755" s="25"/>
      <c r="P755" s="26"/>
    </row>
    <row r="756">
      <c r="A756" s="22"/>
      <c r="B756" s="22"/>
      <c r="C756" s="23"/>
      <c r="D756" s="23"/>
      <c r="E756" s="23"/>
      <c r="G756" s="24"/>
      <c r="H756" s="24"/>
      <c r="I756" s="25"/>
      <c r="J756" s="25"/>
      <c r="P756" s="26"/>
    </row>
    <row r="757">
      <c r="A757" s="22"/>
      <c r="B757" s="22"/>
      <c r="C757" s="23"/>
      <c r="D757" s="23"/>
      <c r="E757" s="23"/>
      <c r="G757" s="24"/>
      <c r="H757" s="24"/>
      <c r="I757" s="25"/>
      <c r="J757" s="25"/>
      <c r="P757" s="26"/>
    </row>
    <row r="758">
      <c r="A758" s="22"/>
      <c r="B758" s="22"/>
      <c r="C758" s="23"/>
      <c r="D758" s="23"/>
      <c r="E758" s="23"/>
      <c r="G758" s="24"/>
      <c r="H758" s="24"/>
      <c r="I758" s="25"/>
      <c r="J758" s="25"/>
      <c r="P758" s="26"/>
    </row>
    <row r="759">
      <c r="A759" s="22"/>
      <c r="B759" s="22"/>
      <c r="C759" s="23"/>
      <c r="D759" s="23"/>
      <c r="E759" s="23"/>
      <c r="G759" s="24"/>
      <c r="H759" s="24"/>
      <c r="I759" s="25"/>
      <c r="J759" s="25"/>
      <c r="P759" s="26"/>
    </row>
    <row r="760">
      <c r="A760" s="22"/>
      <c r="B760" s="22"/>
      <c r="C760" s="23"/>
      <c r="D760" s="23"/>
      <c r="E760" s="23"/>
      <c r="G760" s="24"/>
      <c r="H760" s="24"/>
      <c r="I760" s="25"/>
      <c r="J760" s="25"/>
      <c r="P760" s="26"/>
    </row>
    <row r="761">
      <c r="A761" s="22"/>
      <c r="B761" s="22"/>
      <c r="C761" s="23"/>
      <c r="D761" s="23"/>
      <c r="E761" s="23"/>
      <c r="G761" s="24"/>
      <c r="H761" s="24"/>
      <c r="I761" s="25"/>
      <c r="J761" s="25"/>
      <c r="P761" s="26"/>
    </row>
    <row r="762">
      <c r="A762" s="22"/>
      <c r="B762" s="22"/>
      <c r="C762" s="23"/>
      <c r="D762" s="23"/>
      <c r="E762" s="23"/>
      <c r="G762" s="24"/>
      <c r="H762" s="24"/>
      <c r="I762" s="25"/>
      <c r="J762" s="25"/>
      <c r="P762" s="26"/>
    </row>
    <row r="763">
      <c r="A763" s="22"/>
      <c r="B763" s="22"/>
      <c r="C763" s="23"/>
      <c r="D763" s="23"/>
      <c r="E763" s="23"/>
      <c r="G763" s="24"/>
      <c r="H763" s="24"/>
      <c r="I763" s="25"/>
      <c r="J763" s="25"/>
      <c r="P763" s="26"/>
    </row>
    <row r="764">
      <c r="A764" s="22"/>
      <c r="B764" s="22"/>
      <c r="C764" s="23"/>
      <c r="D764" s="23"/>
      <c r="E764" s="23"/>
      <c r="G764" s="24"/>
      <c r="H764" s="24"/>
      <c r="I764" s="25"/>
      <c r="J764" s="25"/>
      <c r="P764" s="26"/>
    </row>
    <row r="765">
      <c r="A765" s="22"/>
      <c r="B765" s="22"/>
      <c r="C765" s="23"/>
      <c r="D765" s="23"/>
      <c r="E765" s="23"/>
      <c r="G765" s="24"/>
      <c r="H765" s="24"/>
      <c r="I765" s="25"/>
      <c r="J765" s="25"/>
      <c r="P765" s="26"/>
    </row>
    <row r="766">
      <c r="A766" s="22"/>
      <c r="B766" s="22"/>
      <c r="C766" s="23"/>
      <c r="D766" s="23"/>
      <c r="E766" s="23"/>
      <c r="G766" s="24"/>
      <c r="H766" s="24"/>
      <c r="I766" s="25"/>
      <c r="J766" s="25"/>
      <c r="P766" s="26"/>
    </row>
    <row r="767">
      <c r="A767" s="22"/>
      <c r="B767" s="22"/>
      <c r="C767" s="23"/>
      <c r="D767" s="23"/>
      <c r="E767" s="23"/>
      <c r="G767" s="24"/>
      <c r="H767" s="24"/>
      <c r="I767" s="25"/>
      <c r="J767" s="25"/>
      <c r="P767" s="26"/>
    </row>
    <row r="768">
      <c r="A768" s="22"/>
      <c r="B768" s="22"/>
      <c r="C768" s="23"/>
      <c r="D768" s="23"/>
      <c r="E768" s="23"/>
      <c r="G768" s="24"/>
      <c r="H768" s="24"/>
      <c r="I768" s="25"/>
      <c r="J768" s="25"/>
      <c r="P768" s="26"/>
    </row>
    <row r="769">
      <c r="A769" s="22"/>
      <c r="B769" s="22"/>
      <c r="C769" s="23"/>
      <c r="D769" s="23"/>
      <c r="E769" s="23"/>
      <c r="G769" s="24"/>
      <c r="H769" s="24"/>
      <c r="I769" s="25"/>
      <c r="J769" s="25"/>
      <c r="P769" s="26"/>
    </row>
    <row r="770">
      <c r="A770" s="22"/>
      <c r="B770" s="22"/>
      <c r="C770" s="23"/>
      <c r="D770" s="23"/>
      <c r="E770" s="23"/>
      <c r="G770" s="24"/>
      <c r="H770" s="24"/>
      <c r="I770" s="25"/>
      <c r="J770" s="25"/>
      <c r="P770" s="26"/>
    </row>
    <row r="771">
      <c r="A771" s="22"/>
      <c r="B771" s="22"/>
      <c r="C771" s="23"/>
      <c r="D771" s="23"/>
      <c r="E771" s="23"/>
      <c r="G771" s="24"/>
      <c r="H771" s="24"/>
      <c r="I771" s="25"/>
      <c r="J771" s="25"/>
      <c r="P771" s="26"/>
    </row>
    <row r="772">
      <c r="A772" s="22"/>
      <c r="B772" s="22"/>
      <c r="C772" s="23"/>
      <c r="D772" s="23"/>
      <c r="E772" s="23"/>
      <c r="G772" s="24"/>
      <c r="H772" s="24"/>
      <c r="I772" s="25"/>
      <c r="J772" s="25"/>
      <c r="P772" s="26"/>
    </row>
    <row r="773">
      <c r="A773" s="22"/>
      <c r="B773" s="22"/>
      <c r="C773" s="23"/>
      <c r="D773" s="23"/>
      <c r="E773" s="23"/>
      <c r="G773" s="24"/>
      <c r="H773" s="24"/>
      <c r="I773" s="25"/>
      <c r="J773" s="25"/>
      <c r="P773" s="26"/>
    </row>
    <row r="774">
      <c r="A774" s="22"/>
      <c r="B774" s="22"/>
      <c r="C774" s="23"/>
      <c r="D774" s="23"/>
      <c r="E774" s="23"/>
      <c r="G774" s="24"/>
      <c r="H774" s="24"/>
      <c r="I774" s="25"/>
      <c r="J774" s="25"/>
      <c r="P774" s="26"/>
    </row>
    <row r="775">
      <c r="A775" s="22"/>
      <c r="B775" s="22"/>
      <c r="C775" s="23"/>
      <c r="D775" s="23"/>
      <c r="E775" s="23"/>
      <c r="G775" s="24"/>
      <c r="H775" s="24"/>
      <c r="I775" s="25"/>
      <c r="J775" s="25"/>
      <c r="P775" s="26"/>
    </row>
    <row r="776">
      <c r="A776" s="22"/>
      <c r="B776" s="22"/>
      <c r="C776" s="23"/>
      <c r="D776" s="23"/>
      <c r="E776" s="23"/>
      <c r="G776" s="24"/>
      <c r="H776" s="24"/>
      <c r="I776" s="25"/>
      <c r="J776" s="25"/>
      <c r="P776" s="26"/>
    </row>
    <row r="777">
      <c r="A777" s="22"/>
      <c r="B777" s="22"/>
      <c r="C777" s="23"/>
      <c r="D777" s="23"/>
      <c r="E777" s="23"/>
      <c r="G777" s="24"/>
      <c r="H777" s="24"/>
      <c r="I777" s="25"/>
      <c r="J777" s="25"/>
      <c r="P777" s="26"/>
    </row>
    <row r="778">
      <c r="A778" s="22"/>
      <c r="B778" s="22"/>
      <c r="C778" s="23"/>
      <c r="D778" s="23"/>
      <c r="E778" s="23"/>
      <c r="G778" s="24"/>
      <c r="H778" s="24"/>
      <c r="I778" s="25"/>
      <c r="J778" s="25"/>
      <c r="P778" s="26"/>
    </row>
    <row r="779">
      <c r="A779" s="22"/>
      <c r="B779" s="22"/>
      <c r="C779" s="23"/>
      <c r="D779" s="23"/>
      <c r="E779" s="23"/>
      <c r="G779" s="24"/>
      <c r="H779" s="24"/>
      <c r="I779" s="25"/>
      <c r="J779" s="25"/>
      <c r="P779" s="26"/>
    </row>
    <row r="780">
      <c r="A780" s="22"/>
      <c r="B780" s="22"/>
      <c r="C780" s="23"/>
      <c r="D780" s="23"/>
      <c r="E780" s="23"/>
      <c r="G780" s="24"/>
      <c r="H780" s="24"/>
      <c r="I780" s="25"/>
      <c r="J780" s="25"/>
      <c r="P780" s="26"/>
    </row>
    <row r="781">
      <c r="A781" s="22"/>
      <c r="B781" s="22"/>
      <c r="C781" s="23"/>
      <c r="D781" s="23"/>
      <c r="E781" s="23"/>
      <c r="G781" s="24"/>
      <c r="H781" s="24"/>
      <c r="I781" s="25"/>
      <c r="J781" s="25"/>
      <c r="P781" s="26"/>
    </row>
    <row r="782">
      <c r="A782" s="22"/>
      <c r="B782" s="22"/>
      <c r="C782" s="23"/>
      <c r="D782" s="23"/>
      <c r="E782" s="23"/>
      <c r="G782" s="24"/>
      <c r="H782" s="24"/>
      <c r="I782" s="25"/>
      <c r="J782" s="25"/>
      <c r="P782" s="26"/>
    </row>
    <row r="783">
      <c r="A783" s="22"/>
      <c r="B783" s="22"/>
      <c r="C783" s="23"/>
      <c r="D783" s="23"/>
      <c r="E783" s="23"/>
      <c r="G783" s="24"/>
      <c r="H783" s="24"/>
      <c r="I783" s="25"/>
      <c r="J783" s="25"/>
      <c r="P783" s="26"/>
    </row>
    <row r="784">
      <c r="A784" s="22"/>
      <c r="B784" s="22"/>
      <c r="C784" s="23"/>
      <c r="D784" s="23"/>
      <c r="E784" s="23"/>
      <c r="G784" s="24"/>
      <c r="H784" s="24"/>
      <c r="I784" s="25"/>
      <c r="J784" s="25"/>
      <c r="P784" s="26"/>
    </row>
    <row r="785">
      <c r="A785" s="22"/>
      <c r="B785" s="22"/>
      <c r="C785" s="23"/>
      <c r="D785" s="23"/>
      <c r="E785" s="23"/>
      <c r="G785" s="24"/>
      <c r="H785" s="24"/>
      <c r="I785" s="25"/>
      <c r="J785" s="25"/>
      <c r="P785" s="26"/>
    </row>
    <row r="786">
      <c r="A786" s="22"/>
      <c r="B786" s="22"/>
      <c r="C786" s="23"/>
      <c r="D786" s="23"/>
      <c r="E786" s="23"/>
      <c r="G786" s="24"/>
      <c r="H786" s="24"/>
      <c r="I786" s="25"/>
      <c r="J786" s="25"/>
      <c r="P786" s="26"/>
    </row>
    <row r="787">
      <c r="A787" s="22"/>
      <c r="B787" s="22"/>
      <c r="C787" s="23"/>
      <c r="D787" s="23"/>
      <c r="E787" s="23"/>
      <c r="G787" s="24"/>
      <c r="H787" s="24"/>
      <c r="I787" s="25"/>
      <c r="J787" s="25"/>
      <c r="P787" s="26"/>
    </row>
    <row r="788">
      <c r="A788" s="22"/>
      <c r="B788" s="22"/>
      <c r="C788" s="23"/>
      <c r="D788" s="23"/>
      <c r="E788" s="23"/>
      <c r="G788" s="24"/>
      <c r="H788" s="24"/>
      <c r="I788" s="25"/>
      <c r="J788" s="25"/>
      <c r="P788" s="26"/>
    </row>
    <row r="789">
      <c r="A789" s="22"/>
      <c r="B789" s="22"/>
      <c r="C789" s="23"/>
      <c r="D789" s="23"/>
      <c r="E789" s="23"/>
      <c r="G789" s="24"/>
      <c r="H789" s="24"/>
      <c r="I789" s="25"/>
      <c r="J789" s="25"/>
      <c r="P789" s="26"/>
    </row>
    <row r="790">
      <c r="A790" s="22"/>
      <c r="B790" s="22"/>
      <c r="C790" s="23"/>
      <c r="D790" s="23"/>
      <c r="E790" s="23"/>
      <c r="G790" s="24"/>
      <c r="H790" s="24"/>
      <c r="I790" s="25"/>
      <c r="J790" s="25"/>
      <c r="P790" s="26"/>
    </row>
    <row r="791">
      <c r="A791" s="22"/>
      <c r="B791" s="22"/>
      <c r="C791" s="23"/>
      <c r="D791" s="23"/>
      <c r="E791" s="23"/>
      <c r="G791" s="24"/>
      <c r="H791" s="24"/>
      <c r="I791" s="25"/>
      <c r="J791" s="25"/>
      <c r="P791" s="26"/>
    </row>
    <row r="792">
      <c r="A792" s="22"/>
      <c r="B792" s="22"/>
      <c r="C792" s="23"/>
      <c r="D792" s="23"/>
      <c r="E792" s="23"/>
      <c r="G792" s="24"/>
      <c r="H792" s="24"/>
      <c r="I792" s="25"/>
      <c r="J792" s="25"/>
      <c r="P792" s="26"/>
    </row>
    <row r="793">
      <c r="A793" s="22"/>
      <c r="B793" s="22"/>
      <c r="C793" s="23"/>
      <c r="D793" s="23"/>
      <c r="E793" s="23"/>
      <c r="G793" s="24"/>
      <c r="H793" s="24"/>
      <c r="I793" s="25"/>
      <c r="J793" s="25"/>
      <c r="P793" s="26"/>
    </row>
    <row r="794">
      <c r="A794" s="22"/>
      <c r="B794" s="22"/>
      <c r="C794" s="23"/>
      <c r="D794" s="23"/>
      <c r="E794" s="23"/>
      <c r="G794" s="24"/>
      <c r="H794" s="24"/>
      <c r="I794" s="25"/>
      <c r="J794" s="25"/>
      <c r="P794" s="26"/>
    </row>
    <row r="795">
      <c r="A795" s="22"/>
      <c r="B795" s="22"/>
      <c r="C795" s="23"/>
      <c r="D795" s="23"/>
      <c r="E795" s="23"/>
      <c r="G795" s="24"/>
      <c r="H795" s="24"/>
      <c r="I795" s="25"/>
      <c r="J795" s="25"/>
      <c r="P795" s="26"/>
    </row>
    <row r="796">
      <c r="A796" s="22"/>
      <c r="B796" s="22"/>
      <c r="C796" s="23"/>
      <c r="D796" s="23"/>
      <c r="E796" s="23"/>
      <c r="G796" s="24"/>
      <c r="H796" s="24"/>
      <c r="I796" s="25"/>
      <c r="J796" s="25"/>
      <c r="P796" s="26"/>
    </row>
    <row r="797">
      <c r="A797" s="22"/>
      <c r="B797" s="22"/>
      <c r="C797" s="23"/>
      <c r="D797" s="23"/>
      <c r="E797" s="23"/>
      <c r="G797" s="24"/>
      <c r="H797" s="24"/>
      <c r="I797" s="25"/>
      <c r="J797" s="25"/>
      <c r="P797" s="26"/>
    </row>
    <row r="798">
      <c r="A798" s="22"/>
      <c r="B798" s="22"/>
      <c r="C798" s="23"/>
      <c r="D798" s="23"/>
      <c r="E798" s="23"/>
      <c r="G798" s="24"/>
      <c r="H798" s="24"/>
      <c r="I798" s="25"/>
      <c r="J798" s="25"/>
      <c r="P798" s="26"/>
    </row>
    <row r="799">
      <c r="A799" s="22"/>
      <c r="B799" s="22"/>
      <c r="C799" s="23"/>
      <c r="D799" s="23"/>
      <c r="E799" s="23"/>
      <c r="G799" s="24"/>
      <c r="H799" s="24"/>
      <c r="I799" s="25"/>
      <c r="J799" s="25"/>
      <c r="P799" s="26"/>
    </row>
    <row r="800">
      <c r="A800" s="22"/>
      <c r="B800" s="22"/>
      <c r="C800" s="23"/>
      <c r="D800" s="23"/>
      <c r="E800" s="23"/>
      <c r="G800" s="24"/>
      <c r="H800" s="24"/>
      <c r="I800" s="25"/>
      <c r="J800" s="25"/>
      <c r="P800" s="26"/>
    </row>
    <row r="801">
      <c r="A801" s="22"/>
      <c r="B801" s="22"/>
      <c r="C801" s="23"/>
      <c r="D801" s="23"/>
      <c r="E801" s="23"/>
      <c r="G801" s="24"/>
      <c r="H801" s="24"/>
      <c r="I801" s="25"/>
      <c r="J801" s="25"/>
      <c r="P801" s="26"/>
    </row>
    <row r="802">
      <c r="A802" s="22"/>
      <c r="B802" s="22"/>
      <c r="C802" s="23"/>
      <c r="D802" s="23"/>
      <c r="E802" s="23"/>
      <c r="G802" s="24"/>
      <c r="H802" s="24"/>
      <c r="I802" s="25"/>
      <c r="J802" s="25"/>
      <c r="P802" s="26"/>
    </row>
    <row r="803">
      <c r="A803" s="22"/>
      <c r="B803" s="22"/>
      <c r="C803" s="23"/>
      <c r="D803" s="23"/>
      <c r="E803" s="23"/>
      <c r="G803" s="24"/>
      <c r="H803" s="24"/>
      <c r="I803" s="25"/>
      <c r="J803" s="25"/>
      <c r="P803" s="26"/>
    </row>
    <row r="804">
      <c r="A804" s="22"/>
      <c r="B804" s="22"/>
      <c r="C804" s="23"/>
      <c r="D804" s="23"/>
      <c r="E804" s="23"/>
      <c r="G804" s="24"/>
      <c r="H804" s="24"/>
      <c r="I804" s="25"/>
      <c r="J804" s="25"/>
      <c r="P804" s="26"/>
    </row>
    <row r="805">
      <c r="A805" s="22"/>
      <c r="B805" s="22"/>
      <c r="C805" s="23"/>
      <c r="D805" s="23"/>
      <c r="E805" s="23"/>
      <c r="G805" s="24"/>
      <c r="H805" s="24"/>
      <c r="I805" s="25"/>
      <c r="J805" s="25"/>
      <c r="P805" s="26"/>
    </row>
    <row r="806">
      <c r="A806" s="22"/>
      <c r="B806" s="22"/>
      <c r="C806" s="23"/>
      <c r="D806" s="23"/>
      <c r="E806" s="23"/>
      <c r="G806" s="24"/>
      <c r="H806" s="24"/>
      <c r="I806" s="25"/>
      <c r="J806" s="25"/>
      <c r="P806" s="26"/>
    </row>
    <row r="807">
      <c r="A807" s="22"/>
      <c r="B807" s="22"/>
      <c r="C807" s="23"/>
      <c r="D807" s="23"/>
      <c r="E807" s="23"/>
      <c r="G807" s="24"/>
      <c r="H807" s="24"/>
      <c r="I807" s="25"/>
      <c r="J807" s="25"/>
      <c r="P807" s="26"/>
    </row>
    <row r="808">
      <c r="A808" s="22"/>
      <c r="B808" s="22"/>
      <c r="C808" s="23"/>
      <c r="D808" s="23"/>
      <c r="E808" s="23"/>
      <c r="G808" s="24"/>
      <c r="H808" s="24"/>
      <c r="I808" s="25"/>
      <c r="J808" s="25"/>
      <c r="P808" s="26"/>
    </row>
    <row r="809">
      <c r="A809" s="22"/>
      <c r="B809" s="22"/>
      <c r="C809" s="23"/>
      <c r="D809" s="23"/>
      <c r="E809" s="23"/>
      <c r="G809" s="24"/>
      <c r="H809" s="24"/>
      <c r="I809" s="25"/>
      <c r="J809" s="25"/>
      <c r="P809" s="26"/>
    </row>
    <row r="810">
      <c r="A810" s="22"/>
      <c r="B810" s="22"/>
      <c r="C810" s="23"/>
      <c r="D810" s="23"/>
      <c r="E810" s="23"/>
      <c r="G810" s="24"/>
      <c r="H810" s="24"/>
      <c r="I810" s="25"/>
      <c r="J810" s="25"/>
      <c r="P810" s="26"/>
    </row>
    <row r="811">
      <c r="A811" s="22"/>
      <c r="B811" s="22"/>
      <c r="C811" s="23"/>
      <c r="D811" s="23"/>
      <c r="E811" s="23"/>
      <c r="G811" s="24"/>
      <c r="H811" s="24"/>
      <c r="I811" s="25"/>
      <c r="J811" s="25"/>
      <c r="P811" s="26"/>
    </row>
    <row r="812">
      <c r="A812" s="22"/>
      <c r="B812" s="22"/>
      <c r="C812" s="23"/>
      <c r="D812" s="23"/>
      <c r="E812" s="23"/>
      <c r="G812" s="24"/>
      <c r="H812" s="24"/>
      <c r="I812" s="25"/>
      <c r="J812" s="25"/>
      <c r="P812" s="26"/>
    </row>
    <row r="813">
      <c r="A813" s="22"/>
      <c r="B813" s="22"/>
      <c r="C813" s="23"/>
      <c r="D813" s="23"/>
      <c r="E813" s="23"/>
      <c r="G813" s="24"/>
      <c r="H813" s="24"/>
      <c r="I813" s="25"/>
      <c r="J813" s="25"/>
      <c r="P813" s="26"/>
    </row>
    <row r="814">
      <c r="A814" s="22"/>
      <c r="B814" s="22"/>
      <c r="C814" s="23"/>
      <c r="D814" s="23"/>
      <c r="E814" s="23"/>
      <c r="G814" s="24"/>
      <c r="H814" s="24"/>
      <c r="I814" s="25"/>
      <c r="J814" s="25"/>
      <c r="P814" s="26"/>
    </row>
    <row r="815">
      <c r="A815" s="22"/>
      <c r="B815" s="22"/>
      <c r="C815" s="23"/>
      <c r="D815" s="23"/>
      <c r="E815" s="23"/>
      <c r="G815" s="24"/>
      <c r="H815" s="24"/>
      <c r="I815" s="25"/>
      <c r="J815" s="25"/>
      <c r="P815" s="26"/>
    </row>
    <row r="816">
      <c r="A816" s="22"/>
      <c r="B816" s="22"/>
      <c r="C816" s="23"/>
      <c r="D816" s="23"/>
      <c r="E816" s="23"/>
      <c r="G816" s="24"/>
      <c r="H816" s="24"/>
      <c r="I816" s="25"/>
      <c r="J816" s="25"/>
      <c r="P816" s="26"/>
    </row>
    <row r="817">
      <c r="A817" s="22"/>
      <c r="B817" s="22"/>
      <c r="C817" s="23"/>
      <c r="D817" s="23"/>
      <c r="E817" s="23"/>
      <c r="G817" s="24"/>
      <c r="H817" s="24"/>
      <c r="I817" s="25"/>
      <c r="J817" s="25"/>
      <c r="P817" s="26"/>
    </row>
    <row r="818">
      <c r="A818" s="22"/>
      <c r="B818" s="22"/>
      <c r="C818" s="23"/>
      <c r="D818" s="23"/>
      <c r="E818" s="23"/>
      <c r="G818" s="24"/>
      <c r="H818" s="24"/>
      <c r="I818" s="25"/>
      <c r="J818" s="25"/>
      <c r="P818" s="26"/>
    </row>
    <row r="819">
      <c r="A819" s="22"/>
      <c r="B819" s="22"/>
      <c r="C819" s="23"/>
      <c r="D819" s="23"/>
      <c r="E819" s="23"/>
      <c r="G819" s="24"/>
      <c r="H819" s="24"/>
      <c r="I819" s="25"/>
      <c r="J819" s="25"/>
      <c r="P819" s="26"/>
    </row>
    <row r="820">
      <c r="A820" s="22"/>
      <c r="B820" s="22"/>
      <c r="C820" s="23"/>
      <c r="D820" s="23"/>
      <c r="E820" s="23"/>
      <c r="G820" s="24"/>
      <c r="H820" s="24"/>
      <c r="I820" s="25"/>
      <c r="J820" s="25"/>
      <c r="P820" s="26"/>
    </row>
    <row r="821">
      <c r="A821" s="22"/>
      <c r="B821" s="22"/>
      <c r="C821" s="23"/>
      <c r="D821" s="23"/>
      <c r="E821" s="23"/>
      <c r="G821" s="24"/>
      <c r="H821" s="24"/>
      <c r="I821" s="25"/>
      <c r="J821" s="25"/>
      <c r="P821" s="26"/>
    </row>
    <row r="822">
      <c r="A822" s="22"/>
      <c r="B822" s="22"/>
      <c r="C822" s="23"/>
      <c r="D822" s="23"/>
      <c r="E822" s="23"/>
      <c r="G822" s="24"/>
      <c r="H822" s="24"/>
      <c r="I822" s="25"/>
      <c r="J822" s="25"/>
      <c r="P822" s="26"/>
    </row>
    <row r="823">
      <c r="A823" s="22"/>
      <c r="B823" s="22"/>
      <c r="C823" s="23"/>
      <c r="D823" s="23"/>
      <c r="E823" s="23"/>
      <c r="G823" s="24"/>
      <c r="H823" s="24"/>
      <c r="I823" s="25"/>
      <c r="J823" s="25"/>
      <c r="P823" s="26"/>
    </row>
    <row r="824">
      <c r="A824" s="22"/>
      <c r="B824" s="22"/>
      <c r="C824" s="23"/>
      <c r="D824" s="23"/>
      <c r="E824" s="23"/>
      <c r="G824" s="24"/>
      <c r="H824" s="24"/>
      <c r="I824" s="25"/>
      <c r="J824" s="25"/>
      <c r="P824" s="26"/>
    </row>
    <row r="825">
      <c r="A825" s="22"/>
      <c r="B825" s="22"/>
      <c r="C825" s="23"/>
      <c r="D825" s="23"/>
      <c r="E825" s="23"/>
      <c r="G825" s="24"/>
      <c r="H825" s="24"/>
      <c r="I825" s="25"/>
      <c r="J825" s="25"/>
      <c r="P825" s="26"/>
    </row>
    <row r="826">
      <c r="A826" s="22"/>
      <c r="B826" s="22"/>
      <c r="C826" s="23"/>
      <c r="D826" s="23"/>
      <c r="E826" s="23"/>
      <c r="G826" s="24"/>
      <c r="H826" s="24"/>
      <c r="I826" s="25"/>
      <c r="J826" s="25"/>
      <c r="P826" s="26"/>
    </row>
    <row r="827">
      <c r="A827" s="22"/>
      <c r="B827" s="22"/>
      <c r="C827" s="23"/>
      <c r="D827" s="23"/>
      <c r="E827" s="23"/>
      <c r="G827" s="24"/>
      <c r="H827" s="24"/>
      <c r="I827" s="25"/>
      <c r="J827" s="25"/>
      <c r="P827" s="26"/>
    </row>
    <row r="828">
      <c r="A828" s="22"/>
      <c r="B828" s="22"/>
      <c r="C828" s="23"/>
      <c r="D828" s="23"/>
      <c r="E828" s="23"/>
      <c r="G828" s="24"/>
      <c r="H828" s="24"/>
      <c r="I828" s="25"/>
      <c r="J828" s="25"/>
      <c r="P828" s="26"/>
    </row>
    <row r="829">
      <c r="A829" s="22"/>
      <c r="B829" s="22"/>
      <c r="C829" s="23"/>
      <c r="D829" s="23"/>
      <c r="E829" s="23"/>
      <c r="G829" s="24"/>
      <c r="H829" s="24"/>
      <c r="I829" s="25"/>
      <c r="J829" s="25"/>
      <c r="P829" s="26"/>
    </row>
    <row r="830">
      <c r="A830" s="22"/>
      <c r="B830" s="22"/>
      <c r="C830" s="23"/>
      <c r="D830" s="23"/>
      <c r="E830" s="23"/>
      <c r="G830" s="24"/>
      <c r="H830" s="24"/>
      <c r="I830" s="25"/>
      <c r="J830" s="25"/>
      <c r="P830" s="26"/>
    </row>
    <row r="831">
      <c r="A831" s="22"/>
      <c r="B831" s="22"/>
      <c r="C831" s="23"/>
      <c r="D831" s="23"/>
      <c r="E831" s="23"/>
      <c r="G831" s="24"/>
      <c r="H831" s="24"/>
      <c r="I831" s="25"/>
      <c r="J831" s="25"/>
      <c r="P831" s="26"/>
    </row>
    <row r="832">
      <c r="A832" s="22"/>
      <c r="B832" s="22"/>
      <c r="C832" s="23"/>
      <c r="D832" s="23"/>
      <c r="E832" s="23"/>
      <c r="G832" s="24"/>
      <c r="H832" s="24"/>
      <c r="I832" s="25"/>
      <c r="J832" s="25"/>
      <c r="P832" s="26"/>
    </row>
    <row r="833">
      <c r="A833" s="22"/>
      <c r="B833" s="22"/>
      <c r="C833" s="23"/>
      <c r="D833" s="23"/>
      <c r="E833" s="23"/>
      <c r="G833" s="24"/>
      <c r="H833" s="24"/>
      <c r="I833" s="25"/>
      <c r="J833" s="25"/>
      <c r="P833" s="26"/>
    </row>
    <row r="834">
      <c r="A834" s="22"/>
      <c r="B834" s="22"/>
      <c r="C834" s="23"/>
      <c r="D834" s="23"/>
      <c r="E834" s="23"/>
      <c r="G834" s="24"/>
      <c r="H834" s="24"/>
      <c r="I834" s="25"/>
      <c r="J834" s="25"/>
      <c r="P834" s="26"/>
    </row>
    <row r="835">
      <c r="A835" s="22"/>
      <c r="B835" s="22"/>
      <c r="C835" s="23"/>
      <c r="D835" s="23"/>
      <c r="E835" s="23"/>
      <c r="G835" s="24"/>
      <c r="H835" s="24"/>
      <c r="I835" s="25"/>
      <c r="J835" s="25"/>
      <c r="P835" s="26"/>
    </row>
    <row r="836">
      <c r="A836" s="22"/>
      <c r="B836" s="22"/>
      <c r="C836" s="23"/>
      <c r="D836" s="23"/>
      <c r="E836" s="23"/>
      <c r="G836" s="24"/>
      <c r="H836" s="24"/>
      <c r="I836" s="25"/>
      <c r="J836" s="25"/>
      <c r="P836" s="26"/>
    </row>
    <row r="837">
      <c r="A837" s="22"/>
      <c r="B837" s="22"/>
      <c r="C837" s="23"/>
      <c r="D837" s="23"/>
      <c r="E837" s="23"/>
      <c r="G837" s="24"/>
      <c r="H837" s="24"/>
      <c r="I837" s="25"/>
      <c r="J837" s="25"/>
      <c r="P837" s="26"/>
    </row>
    <row r="838">
      <c r="A838" s="22"/>
      <c r="B838" s="22"/>
      <c r="C838" s="23"/>
      <c r="D838" s="23"/>
      <c r="E838" s="23"/>
      <c r="G838" s="24"/>
      <c r="H838" s="24"/>
      <c r="I838" s="25"/>
      <c r="J838" s="25"/>
      <c r="P838" s="26"/>
    </row>
    <row r="839">
      <c r="A839" s="22"/>
      <c r="B839" s="22"/>
      <c r="C839" s="23"/>
      <c r="D839" s="23"/>
      <c r="E839" s="23"/>
      <c r="G839" s="24"/>
      <c r="H839" s="24"/>
      <c r="I839" s="25"/>
      <c r="J839" s="25"/>
      <c r="P839" s="26"/>
    </row>
    <row r="840">
      <c r="A840" s="22"/>
      <c r="B840" s="22"/>
      <c r="C840" s="23"/>
      <c r="D840" s="23"/>
      <c r="E840" s="23"/>
      <c r="G840" s="24"/>
      <c r="H840" s="24"/>
      <c r="I840" s="25"/>
      <c r="J840" s="25"/>
      <c r="P840" s="26"/>
    </row>
    <row r="841">
      <c r="A841" s="22"/>
      <c r="B841" s="22"/>
      <c r="C841" s="23"/>
      <c r="D841" s="23"/>
      <c r="E841" s="23"/>
      <c r="G841" s="24"/>
      <c r="H841" s="24"/>
      <c r="I841" s="25"/>
      <c r="J841" s="25"/>
      <c r="P841" s="26"/>
    </row>
    <row r="842">
      <c r="A842" s="22"/>
      <c r="B842" s="22"/>
      <c r="C842" s="23"/>
      <c r="D842" s="23"/>
      <c r="E842" s="23"/>
      <c r="G842" s="24"/>
      <c r="H842" s="24"/>
      <c r="I842" s="25"/>
      <c r="J842" s="25"/>
      <c r="P842" s="26"/>
    </row>
    <row r="843">
      <c r="A843" s="22"/>
      <c r="B843" s="22"/>
      <c r="C843" s="23"/>
      <c r="D843" s="23"/>
      <c r="E843" s="23"/>
      <c r="G843" s="24"/>
      <c r="H843" s="24"/>
      <c r="I843" s="25"/>
      <c r="J843" s="25"/>
      <c r="P843" s="26"/>
    </row>
    <row r="844">
      <c r="A844" s="22"/>
      <c r="B844" s="22"/>
      <c r="C844" s="23"/>
      <c r="D844" s="23"/>
      <c r="E844" s="23"/>
      <c r="G844" s="24"/>
      <c r="H844" s="24"/>
      <c r="I844" s="25"/>
      <c r="J844" s="25"/>
      <c r="P844" s="26"/>
    </row>
    <row r="845">
      <c r="A845" s="22"/>
      <c r="B845" s="22"/>
      <c r="C845" s="23"/>
      <c r="D845" s="23"/>
      <c r="E845" s="23"/>
      <c r="G845" s="24"/>
      <c r="H845" s="24"/>
      <c r="I845" s="25"/>
      <c r="J845" s="25"/>
      <c r="P845" s="26"/>
    </row>
    <row r="846">
      <c r="A846" s="22"/>
      <c r="B846" s="22"/>
      <c r="C846" s="23"/>
      <c r="D846" s="23"/>
      <c r="E846" s="23"/>
      <c r="G846" s="24"/>
      <c r="H846" s="24"/>
      <c r="I846" s="25"/>
      <c r="J846" s="25"/>
      <c r="P846" s="26"/>
    </row>
    <row r="847">
      <c r="A847" s="22"/>
      <c r="B847" s="22"/>
      <c r="C847" s="23"/>
      <c r="D847" s="23"/>
      <c r="E847" s="23"/>
      <c r="G847" s="24"/>
      <c r="H847" s="24"/>
      <c r="I847" s="25"/>
      <c r="J847" s="25"/>
      <c r="P847" s="26"/>
    </row>
    <row r="848">
      <c r="A848" s="22"/>
      <c r="B848" s="22"/>
      <c r="C848" s="23"/>
      <c r="D848" s="23"/>
      <c r="E848" s="23"/>
      <c r="G848" s="24"/>
      <c r="H848" s="24"/>
      <c r="I848" s="25"/>
      <c r="J848" s="25"/>
      <c r="P848" s="26"/>
    </row>
    <row r="849">
      <c r="A849" s="22"/>
      <c r="B849" s="22"/>
      <c r="C849" s="23"/>
      <c r="D849" s="23"/>
      <c r="E849" s="23"/>
      <c r="G849" s="24"/>
      <c r="H849" s="24"/>
      <c r="I849" s="25"/>
      <c r="J849" s="25"/>
      <c r="P849" s="26"/>
    </row>
    <row r="850">
      <c r="A850" s="22"/>
      <c r="B850" s="22"/>
      <c r="C850" s="23"/>
      <c r="D850" s="23"/>
      <c r="E850" s="23"/>
      <c r="G850" s="24"/>
      <c r="H850" s="24"/>
      <c r="I850" s="25"/>
      <c r="J850" s="25"/>
      <c r="P850" s="26"/>
    </row>
    <row r="851">
      <c r="A851" s="22"/>
      <c r="B851" s="22"/>
      <c r="C851" s="23"/>
      <c r="D851" s="23"/>
      <c r="E851" s="23"/>
      <c r="G851" s="24"/>
      <c r="H851" s="24"/>
      <c r="I851" s="25"/>
      <c r="J851" s="25"/>
      <c r="P851" s="26"/>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1"/>
  </hyperlinks>
  <drawing r:id="rId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7.5"/>
    <col customWidth="1" min="3" max="3" width="10.13"/>
    <col customWidth="1" min="4" max="4" width="20.0"/>
    <col customWidth="1" min="5" max="5" width="9.38"/>
    <col customWidth="1" min="6" max="6" width="10.88"/>
    <col customWidth="1" min="7" max="7" width="21.63"/>
    <col customWidth="1" min="8" max="8" width="24.5"/>
    <col customWidth="1" min="9" max="9" width="41.88"/>
    <col customWidth="1" min="10" max="10" width="13.5"/>
    <col customWidth="1" min="11" max="11" width="17.63"/>
    <col customWidth="1" min="12" max="12" width="7.75"/>
    <col customWidth="1" min="13" max="13" width="12.13"/>
    <col customWidth="1" min="14" max="14" width="9.0"/>
    <col customWidth="1" min="15" max="15" width="13.13"/>
  </cols>
  <sheetData>
    <row r="1">
      <c r="A1" s="1" t="s">
        <v>0</v>
      </c>
      <c r="B1" s="28" t="s">
        <v>1</v>
      </c>
      <c r="C1" s="1" t="s">
        <v>275</v>
      </c>
      <c r="D1" s="29" t="s">
        <v>2</v>
      </c>
      <c r="E1" s="1" t="s">
        <v>7</v>
      </c>
      <c r="F1" s="1" t="s">
        <v>276</v>
      </c>
      <c r="G1" s="1" t="s">
        <v>9</v>
      </c>
      <c r="H1" s="1" t="s">
        <v>10</v>
      </c>
      <c r="I1" s="1" t="s">
        <v>11</v>
      </c>
      <c r="J1" s="1" t="s">
        <v>14</v>
      </c>
      <c r="K1" s="6" t="s">
        <v>15</v>
      </c>
      <c r="L1" s="1" t="s">
        <v>16</v>
      </c>
      <c r="M1" s="1" t="s">
        <v>17</v>
      </c>
      <c r="N1" s="1" t="s">
        <v>18</v>
      </c>
      <c r="O1" s="1" t="s">
        <v>20</v>
      </c>
      <c r="P1" s="30" t="s">
        <v>277</v>
      </c>
      <c r="Q1" s="7"/>
      <c r="R1" s="7"/>
      <c r="S1" s="7"/>
      <c r="T1" s="7"/>
      <c r="U1" s="7"/>
      <c r="V1" s="7"/>
      <c r="W1" s="7"/>
      <c r="X1" s="7"/>
      <c r="Y1" s="7"/>
      <c r="Z1" s="7"/>
      <c r="AA1" s="7"/>
    </row>
    <row r="2">
      <c r="A2" s="8" t="str">
        <f t="shared" ref="A2:A40" si="1">"Q"&amp;INT((MONTH(B2)+2)/3)</f>
        <v>Q1</v>
      </c>
      <c r="B2" s="8">
        <f t="shared" ref="B2:B40" si="2">VALUE(LEFT(D2,10))</f>
        <v>45295</v>
      </c>
      <c r="C2" s="10" t="s">
        <v>278</v>
      </c>
      <c r="D2" s="31" t="s">
        <v>279</v>
      </c>
      <c r="E2" s="10" t="s">
        <v>24</v>
      </c>
      <c r="F2" s="10">
        <v>1.0</v>
      </c>
      <c r="G2" s="32" t="s">
        <v>25</v>
      </c>
      <c r="H2" s="10" t="s">
        <v>280</v>
      </c>
      <c r="I2" s="13" t="s">
        <v>281</v>
      </c>
      <c r="J2" s="10">
        <f t="shared" ref="J2:J40" si="3">L2+M2+N2</f>
        <v>113</v>
      </c>
      <c r="K2" s="14">
        <f t="shared" ref="K2:K40" si="4">J2/O2</f>
        <v>0.01855500821</v>
      </c>
      <c r="L2" s="10">
        <v>102.0</v>
      </c>
      <c r="M2" s="10">
        <v>6.0</v>
      </c>
      <c r="N2" s="10">
        <v>5.0</v>
      </c>
      <c r="O2" s="10">
        <v>6090.0</v>
      </c>
      <c r="P2" s="33">
        <f t="shared" ref="P2:P40" si="5">(O2/106000)*100</f>
        <v>5.745283019</v>
      </c>
    </row>
    <row r="3">
      <c r="A3" s="8" t="str">
        <f t="shared" si="1"/>
        <v>Q1</v>
      </c>
      <c r="B3" s="8">
        <f t="shared" si="2"/>
        <v>45300</v>
      </c>
      <c r="C3" s="10" t="s">
        <v>278</v>
      </c>
      <c r="D3" s="31" t="s">
        <v>282</v>
      </c>
      <c r="E3" s="10" t="s">
        <v>23</v>
      </c>
      <c r="F3" s="10">
        <v>2.0</v>
      </c>
      <c r="G3" s="10" t="s">
        <v>283</v>
      </c>
      <c r="H3" s="10" t="s">
        <v>284</v>
      </c>
      <c r="I3" s="13" t="s">
        <v>285</v>
      </c>
      <c r="J3" s="10">
        <f t="shared" si="3"/>
        <v>13</v>
      </c>
      <c r="K3" s="14">
        <f t="shared" si="4"/>
        <v>0.008125</v>
      </c>
      <c r="L3" s="10">
        <v>11.0</v>
      </c>
      <c r="M3" s="10">
        <v>0.0</v>
      </c>
      <c r="N3" s="10">
        <v>2.0</v>
      </c>
      <c r="O3" s="10">
        <v>1600.0</v>
      </c>
      <c r="P3" s="33">
        <f t="shared" si="5"/>
        <v>1.509433962</v>
      </c>
    </row>
    <row r="4">
      <c r="A4" s="8" t="str">
        <f t="shared" si="1"/>
        <v>Q1</v>
      </c>
      <c r="B4" s="8">
        <f t="shared" si="2"/>
        <v>45301</v>
      </c>
      <c r="C4" s="10" t="s">
        <v>278</v>
      </c>
      <c r="D4" s="31" t="s">
        <v>286</v>
      </c>
      <c r="E4" s="10" t="s">
        <v>23</v>
      </c>
      <c r="F4" s="10">
        <v>3.0</v>
      </c>
      <c r="G4" s="32" t="s">
        <v>34</v>
      </c>
      <c r="H4" s="10" t="s">
        <v>287</v>
      </c>
      <c r="I4" s="13" t="s">
        <v>288</v>
      </c>
      <c r="J4" s="10">
        <f t="shared" si="3"/>
        <v>83</v>
      </c>
      <c r="K4" s="14">
        <f t="shared" si="4"/>
        <v>0.03139183056</v>
      </c>
      <c r="L4" s="10">
        <v>80.0</v>
      </c>
      <c r="M4" s="10">
        <v>3.0</v>
      </c>
      <c r="N4" s="10">
        <v>0.0</v>
      </c>
      <c r="O4" s="10">
        <v>2644.0</v>
      </c>
      <c r="P4" s="33">
        <f t="shared" si="5"/>
        <v>2.494339623</v>
      </c>
    </row>
    <row r="5">
      <c r="A5" s="8" t="str">
        <f t="shared" si="1"/>
        <v>Q1</v>
      </c>
      <c r="B5" s="8">
        <f t="shared" si="2"/>
        <v>45302</v>
      </c>
      <c r="C5" s="10" t="s">
        <v>278</v>
      </c>
      <c r="D5" s="31" t="s">
        <v>289</v>
      </c>
      <c r="E5" s="10" t="s">
        <v>23</v>
      </c>
      <c r="F5" s="10">
        <v>4.0</v>
      </c>
      <c r="G5" s="10" t="s">
        <v>283</v>
      </c>
      <c r="H5" s="10" t="s">
        <v>290</v>
      </c>
      <c r="I5" s="13" t="s">
        <v>291</v>
      </c>
      <c r="J5" s="10">
        <f t="shared" si="3"/>
        <v>103</v>
      </c>
      <c r="K5" s="14">
        <f t="shared" si="4"/>
        <v>0.02014078999</v>
      </c>
      <c r="L5" s="10">
        <v>91.0</v>
      </c>
      <c r="M5" s="10">
        <v>9.0</v>
      </c>
      <c r="N5" s="10">
        <v>3.0</v>
      </c>
      <c r="O5" s="10">
        <v>5114.0</v>
      </c>
      <c r="P5" s="33">
        <f t="shared" si="5"/>
        <v>4.824528302</v>
      </c>
    </row>
    <row r="6">
      <c r="A6" s="8" t="str">
        <f t="shared" si="1"/>
        <v>Q1</v>
      </c>
      <c r="B6" s="8">
        <f t="shared" si="2"/>
        <v>45303</v>
      </c>
      <c r="C6" s="10" t="s">
        <v>278</v>
      </c>
      <c r="D6" s="31" t="s">
        <v>292</v>
      </c>
      <c r="E6" s="10" t="s">
        <v>24</v>
      </c>
      <c r="F6" s="10">
        <v>5.0</v>
      </c>
      <c r="G6" s="32" t="s">
        <v>38</v>
      </c>
      <c r="H6" s="10" t="s">
        <v>293</v>
      </c>
      <c r="I6" s="13" t="s">
        <v>294</v>
      </c>
      <c r="J6" s="10">
        <f t="shared" si="3"/>
        <v>170</v>
      </c>
      <c r="K6" s="14">
        <f t="shared" si="4"/>
        <v>0.02230093139</v>
      </c>
      <c r="L6" s="10">
        <v>160.0</v>
      </c>
      <c r="M6" s="10">
        <v>9.0</v>
      </c>
      <c r="N6" s="10">
        <v>1.0</v>
      </c>
      <c r="O6" s="10">
        <v>7623.0</v>
      </c>
      <c r="P6" s="33">
        <f t="shared" si="5"/>
        <v>7.191509434</v>
      </c>
    </row>
    <row r="7">
      <c r="A7" s="8" t="str">
        <f t="shared" si="1"/>
        <v>Q1</v>
      </c>
      <c r="B7" s="8">
        <f t="shared" si="2"/>
        <v>45307</v>
      </c>
      <c r="C7" s="10" t="s">
        <v>278</v>
      </c>
      <c r="D7" s="31" t="s">
        <v>295</v>
      </c>
      <c r="E7" s="10" t="s">
        <v>24</v>
      </c>
      <c r="F7" s="10">
        <v>6.0</v>
      </c>
      <c r="G7" s="32" t="s">
        <v>42</v>
      </c>
      <c r="H7" s="10" t="s">
        <v>296</v>
      </c>
      <c r="I7" s="13" t="s">
        <v>297</v>
      </c>
      <c r="J7" s="10">
        <f t="shared" si="3"/>
        <v>59</v>
      </c>
      <c r="K7" s="14">
        <f t="shared" si="4"/>
        <v>0.01900161031</v>
      </c>
      <c r="L7" s="10">
        <v>55.0</v>
      </c>
      <c r="M7" s="10">
        <v>1.0</v>
      </c>
      <c r="N7" s="10">
        <v>3.0</v>
      </c>
      <c r="O7" s="10">
        <v>3105.0</v>
      </c>
      <c r="P7" s="33">
        <f t="shared" si="5"/>
        <v>2.929245283</v>
      </c>
    </row>
    <row r="8">
      <c r="A8" s="8" t="str">
        <f t="shared" si="1"/>
        <v>Q1</v>
      </c>
      <c r="B8" s="8">
        <f t="shared" si="2"/>
        <v>45309</v>
      </c>
      <c r="C8" s="10" t="s">
        <v>278</v>
      </c>
      <c r="D8" s="31" t="s">
        <v>298</v>
      </c>
      <c r="E8" s="10" t="s">
        <v>24</v>
      </c>
      <c r="F8" s="10">
        <v>7.0</v>
      </c>
      <c r="G8" s="32" t="s">
        <v>42</v>
      </c>
      <c r="H8" s="10" t="s">
        <v>299</v>
      </c>
      <c r="I8" s="13" t="s">
        <v>300</v>
      </c>
      <c r="J8" s="10">
        <f t="shared" si="3"/>
        <v>31</v>
      </c>
      <c r="K8" s="14">
        <f t="shared" si="4"/>
        <v>0.01461574729</v>
      </c>
      <c r="L8" s="10">
        <v>29.0</v>
      </c>
      <c r="M8" s="10">
        <v>2.0</v>
      </c>
      <c r="N8" s="10">
        <v>0.0</v>
      </c>
      <c r="O8" s="10">
        <v>2121.0</v>
      </c>
      <c r="P8" s="33">
        <f t="shared" si="5"/>
        <v>2.000943396</v>
      </c>
    </row>
    <row r="9">
      <c r="A9" s="8" t="str">
        <f t="shared" si="1"/>
        <v>Q1</v>
      </c>
      <c r="B9" s="8">
        <f t="shared" si="2"/>
        <v>45310</v>
      </c>
      <c r="C9" s="10" t="s">
        <v>278</v>
      </c>
      <c r="D9" s="31" t="s">
        <v>301</v>
      </c>
      <c r="E9" s="10" t="s">
        <v>23</v>
      </c>
      <c r="F9" s="10">
        <v>8.0</v>
      </c>
      <c r="G9" s="32" t="s">
        <v>302</v>
      </c>
      <c r="H9" s="10" t="s">
        <v>303</v>
      </c>
      <c r="I9" s="13" t="s">
        <v>304</v>
      </c>
      <c r="J9" s="10">
        <f t="shared" si="3"/>
        <v>287</v>
      </c>
      <c r="K9" s="14">
        <f t="shared" si="4"/>
        <v>0.04422869471</v>
      </c>
      <c r="L9" s="10">
        <v>282.0</v>
      </c>
      <c r="M9" s="10">
        <v>4.0</v>
      </c>
      <c r="N9" s="10">
        <v>1.0</v>
      </c>
      <c r="O9" s="10">
        <v>6489.0</v>
      </c>
      <c r="P9" s="33">
        <f t="shared" si="5"/>
        <v>6.121698113</v>
      </c>
    </row>
    <row r="10">
      <c r="A10" s="8" t="str">
        <f t="shared" si="1"/>
        <v>Q1</v>
      </c>
      <c r="B10" s="8">
        <f t="shared" si="2"/>
        <v>45313</v>
      </c>
      <c r="C10" s="10" t="s">
        <v>278</v>
      </c>
      <c r="D10" s="31" t="s">
        <v>305</v>
      </c>
      <c r="E10" s="10" t="s">
        <v>23</v>
      </c>
      <c r="F10" s="10">
        <v>9.0</v>
      </c>
      <c r="G10" s="32" t="s">
        <v>306</v>
      </c>
      <c r="H10" s="10" t="s">
        <v>307</v>
      </c>
      <c r="I10" s="13" t="s">
        <v>308</v>
      </c>
      <c r="J10" s="10">
        <f t="shared" si="3"/>
        <v>71</v>
      </c>
      <c r="K10" s="14">
        <f t="shared" si="4"/>
        <v>0.02700646634</v>
      </c>
      <c r="L10" s="10">
        <v>66.0</v>
      </c>
      <c r="M10" s="10">
        <v>5.0</v>
      </c>
      <c r="N10" s="10">
        <v>0.0</v>
      </c>
      <c r="O10" s="10">
        <v>2629.0</v>
      </c>
      <c r="P10" s="33">
        <f t="shared" si="5"/>
        <v>2.480188679</v>
      </c>
    </row>
    <row r="11">
      <c r="A11" s="8" t="str">
        <f t="shared" si="1"/>
        <v>Q1</v>
      </c>
      <c r="B11" s="8">
        <f t="shared" si="2"/>
        <v>45314</v>
      </c>
      <c r="C11" s="10" t="s">
        <v>278</v>
      </c>
      <c r="D11" s="31" t="s">
        <v>309</v>
      </c>
      <c r="E11" s="10" t="s">
        <v>24</v>
      </c>
      <c r="F11" s="10">
        <v>10.0</v>
      </c>
      <c r="G11" s="32" t="s">
        <v>49</v>
      </c>
      <c r="H11" s="10" t="s">
        <v>310</v>
      </c>
      <c r="I11" s="13" t="s">
        <v>311</v>
      </c>
      <c r="J11" s="10">
        <f t="shared" si="3"/>
        <v>69</v>
      </c>
      <c r="K11" s="14">
        <f t="shared" si="4"/>
        <v>0.03011785247</v>
      </c>
      <c r="L11" s="10">
        <v>64.0</v>
      </c>
      <c r="M11" s="10">
        <v>4.0</v>
      </c>
      <c r="N11" s="10">
        <v>1.0</v>
      </c>
      <c r="O11" s="10">
        <v>2291.0</v>
      </c>
      <c r="P11" s="33">
        <f t="shared" si="5"/>
        <v>2.161320755</v>
      </c>
    </row>
    <row r="12">
      <c r="A12" s="8" t="str">
        <f t="shared" si="1"/>
        <v>Q1</v>
      </c>
      <c r="B12" s="8">
        <f t="shared" si="2"/>
        <v>45316</v>
      </c>
      <c r="C12" s="10" t="s">
        <v>278</v>
      </c>
      <c r="D12" s="31" t="s">
        <v>312</v>
      </c>
      <c r="E12" s="10" t="s">
        <v>24</v>
      </c>
      <c r="F12" s="10">
        <v>11.0</v>
      </c>
      <c r="G12" s="32" t="s">
        <v>53</v>
      </c>
      <c r="H12" s="10" t="s">
        <v>313</v>
      </c>
      <c r="I12" s="13" t="s">
        <v>314</v>
      </c>
      <c r="J12" s="10">
        <f t="shared" si="3"/>
        <v>184</v>
      </c>
      <c r="K12" s="14">
        <f t="shared" si="4"/>
        <v>0.01003162142</v>
      </c>
      <c r="L12" s="10">
        <v>171.0</v>
      </c>
      <c r="M12" s="10">
        <v>3.0</v>
      </c>
      <c r="N12" s="10">
        <v>10.0</v>
      </c>
      <c r="O12" s="10">
        <v>18342.0</v>
      </c>
      <c r="P12" s="33">
        <f t="shared" si="5"/>
        <v>17.30377358</v>
      </c>
    </row>
    <row r="13">
      <c r="A13" s="8" t="str">
        <f t="shared" si="1"/>
        <v>Q1</v>
      </c>
      <c r="B13" s="8">
        <f t="shared" si="2"/>
        <v>45317</v>
      </c>
      <c r="C13" s="10" t="s">
        <v>278</v>
      </c>
      <c r="D13" s="31" t="s">
        <v>315</v>
      </c>
      <c r="E13" s="10" t="s">
        <v>23</v>
      </c>
      <c r="F13" s="10">
        <v>12.0</v>
      </c>
      <c r="G13" s="32" t="s">
        <v>306</v>
      </c>
      <c r="H13" s="10" t="s">
        <v>316</v>
      </c>
      <c r="I13" s="13" t="s">
        <v>317</v>
      </c>
      <c r="J13" s="10">
        <f t="shared" si="3"/>
        <v>64</v>
      </c>
      <c r="K13" s="14">
        <f t="shared" si="4"/>
        <v>0.02435312024</v>
      </c>
      <c r="L13" s="10">
        <v>54.0</v>
      </c>
      <c r="M13" s="10">
        <v>8.0</v>
      </c>
      <c r="N13" s="10">
        <v>2.0</v>
      </c>
      <c r="O13" s="10">
        <v>2628.0</v>
      </c>
      <c r="P13" s="33">
        <f t="shared" si="5"/>
        <v>2.479245283</v>
      </c>
    </row>
    <row r="14">
      <c r="A14" s="8" t="str">
        <f t="shared" si="1"/>
        <v>Q1</v>
      </c>
      <c r="B14" s="8">
        <f t="shared" si="2"/>
        <v>45318</v>
      </c>
      <c r="C14" s="10" t="s">
        <v>278</v>
      </c>
      <c r="D14" s="31" t="s">
        <v>318</v>
      </c>
      <c r="E14" s="10" t="s">
        <v>23</v>
      </c>
      <c r="F14" s="10">
        <v>13.0</v>
      </c>
      <c r="G14" s="32" t="s">
        <v>198</v>
      </c>
      <c r="H14" s="10" t="s">
        <v>319</v>
      </c>
      <c r="I14" s="13" t="s">
        <v>320</v>
      </c>
      <c r="J14" s="10">
        <f t="shared" si="3"/>
        <v>43</v>
      </c>
      <c r="K14" s="14">
        <f t="shared" si="4"/>
        <v>0.01606875934</v>
      </c>
      <c r="L14" s="10">
        <v>41.0</v>
      </c>
      <c r="M14" s="10">
        <v>1.0</v>
      </c>
      <c r="N14" s="10">
        <v>1.0</v>
      </c>
      <c r="O14" s="10">
        <v>2676.0</v>
      </c>
      <c r="P14" s="33">
        <f t="shared" si="5"/>
        <v>2.524528302</v>
      </c>
    </row>
    <row r="15">
      <c r="A15" s="8" t="str">
        <f t="shared" si="1"/>
        <v>Q1</v>
      </c>
      <c r="B15" s="8">
        <f t="shared" si="2"/>
        <v>45322</v>
      </c>
      <c r="C15" s="10" t="s">
        <v>278</v>
      </c>
      <c r="D15" s="31" t="s">
        <v>321</v>
      </c>
      <c r="E15" s="10" t="s">
        <v>23</v>
      </c>
      <c r="F15" s="10">
        <v>14.0</v>
      </c>
      <c r="G15" s="32" t="s">
        <v>64</v>
      </c>
      <c r="H15" s="10" t="s">
        <v>322</v>
      </c>
      <c r="I15" s="13" t="s">
        <v>323</v>
      </c>
      <c r="J15" s="10">
        <f t="shared" si="3"/>
        <v>52</v>
      </c>
      <c r="K15" s="14">
        <f t="shared" si="4"/>
        <v>0.01654470251</v>
      </c>
      <c r="L15" s="10">
        <v>51.0</v>
      </c>
      <c r="M15" s="10">
        <v>1.0</v>
      </c>
      <c r="N15" s="10">
        <v>0.0</v>
      </c>
      <c r="O15" s="10">
        <v>3143.0</v>
      </c>
      <c r="P15" s="33">
        <f t="shared" si="5"/>
        <v>2.96509434</v>
      </c>
      <c r="T15" s="27"/>
    </row>
    <row r="16">
      <c r="A16" s="8" t="str">
        <f t="shared" si="1"/>
        <v>Q1</v>
      </c>
      <c r="B16" s="8">
        <f t="shared" si="2"/>
        <v>45329</v>
      </c>
      <c r="C16" s="10" t="s">
        <v>278</v>
      </c>
      <c r="D16" s="31" t="s">
        <v>324</v>
      </c>
      <c r="E16" s="10" t="s">
        <v>23</v>
      </c>
      <c r="F16" s="10">
        <v>15.0</v>
      </c>
      <c r="G16" s="32" t="s">
        <v>306</v>
      </c>
      <c r="H16" s="10" t="s">
        <v>325</v>
      </c>
      <c r="I16" s="13" t="s">
        <v>326</v>
      </c>
      <c r="J16" s="10">
        <f t="shared" si="3"/>
        <v>65</v>
      </c>
      <c r="K16" s="14">
        <f t="shared" si="4"/>
        <v>0.02523291925</v>
      </c>
      <c r="L16" s="10">
        <v>59.0</v>
      </c>
      <c r="M16" s="10">
        <v>6.0</v>
      </c>
      <c r="N16" s="10">
        <v>0.0</v>
      </c>
      <c r="O16" s="10">
        <v>2576.0</v>
      </c>
      <c r="P16" s="33">
        <f t="shared" si="5"/>
        <v>2.430188679</v>
      </c>
      <c r="T16" s="27"/>
    </row>
    <row r="17">
      <c r="A17" s="8" t="str">
        <f t="shared" si="1"/>
        <v>Q1</v>
      </c>
      <c r="B17" s="8">
        <f t="shared" si="2"/>
        <v>45330</v>
      </c>
      <c r="C17" s="10" t="s">
        <v>278</v>
      </c>
      <c r="D17" s="31" t="s">
        <v>327</v>
      </c>
      <c r="E17" s="10" t="s">
        <v>24</v>
      </c>
      <c r="F17" s="10">
        <v>16.0</v>
      </c>
      <c r="G17" s="32" t="s">
        <v>81</v>
      </c>
      <c r="H17" s="10" t="s">
        <v>328</v>
      </c>
      <c r="I17" s="13" t="s">
        <v>329</v>
      </c>
      <c r="J17" s="10">
        <f t="shared" si="3"/>
        <v>148</v>
      </c>
      <c r="K17" s="14">
        <f t="shared" si="4"/>
        <v>0.02317569684</v>
      </c>
      <c r="L17" s="10">
        <v>140.0</v>
      </c>
      <c r="M17" s="10">
        <v>4.0</v>
      </c>
      <c r="N17" s="10">
        <v>4.0</v>
      </c>
      <c r="O17" s="10">
        <v>6386.0</v>
      </c>
      <c r="P17" s="33">
        <f t="shared" si="5"/>
        <v>6.024528302</v>
      </c>
    </row>
    <row r="18">
      <c r="A18" s="8" t="str">
        <f t="shared" si="1"/>
        <v>Q1</v>
      </c>
      <c r="B18" s="8">
        <f t="shared" si="2"/>
        <v>45331</v>
      </c>
      <c r="C18" s="10" t="s">
        <v>278</v>
      </c>
      <c r="D18" s="31" t="s">
        <v>330</v>
      </c>
      <c r="E18" s="10" t="s">
        <v>24</v>
      </c>
      <c r="F18" s="10">
        <v>17.0</v>
      </c>
      <c r="G18" s="32" t="s">
        <v>42</v>
      </c>
      <c r="H18" s="10" t="s">
        <v>331</v>
      </c>
      <c r="I18" s="13" t="s">
        <v>332</v>
      </c>
      <c r="J18" s="10">
        <f t="shared" si="3"/>
        <v>82</v>
      </c>
      <c r="K18" s="14">
        <f t="shared" si="4"/>
        <v>0.02374059062</v>
      </c>
      <c r="L18" s="10">
        <v>72.0</v>
      </c>
      <c r="M18" s="10">
        <v>5.0</v>
      </c>
      <c r="N18" s="10">
        <v>5.0</v>
      </c>
      <c r="O18" s="10">
        <v>3454.0</v>
      </c>
      <c r="P18" s="33">
        <f t="shared" si="5"/>
        <v>3.258490566</v>
      </c>
    </row>
    <row r="19">
      <c r="A19" s="8" t="str">
        <f t="shared" si="1"/>
        <v>Q1</v>
      </c>
      <c r="B19" s="8">
        <f t="shared" si="2"/>
        <v>45336</v>
      </c>
      <c r="C19" s="10" t="s">
        <v>278</v>
      </c>
      <c r="D19" s="31" t="s">
        <v>333</v>
      </c>
      <c r="E19" s="10" t="s">
        <v>24</v>
      </c>
      <c r="F19" s="10">
        <v>18.0</v>
      </c>
      <c r="G19" s="10" t="s">
        <v>306</v>
      </c>
      <c r="H19" s="10" t="s">
        <v>334</v>
      </c>
      <c r="I19" s="13" t="s">
        <v>335</v>
      </c>
      <c r="J19" s="10">
        <f t="shared" si="3"/>
        <v>58</v>
      </c>
      <c r="K19" s="14">
        <f t="shared" si="4"/>
        <v>0.02048746026</v>
      </c>
      <c r="L19" s="10">
        <v>52.0</v>
      </c>
      <c r="M19" s="10">
        <v>2.0</v>
      </c>
      <c r="N19" s="10">
        <v>4.0</v>
      </c>
      <c r="O19" s="10">
        <v>2831.0</v>
      </c>
      <c r="P19" s="33">
        <f t="shared" si="5"/>
        <v>2.670754717</v>
      </c>
    </row>
    <row r="20">
      <c r="A20" s="8" t="str">
        <f t="shared" si="1"/>
        <v>Q1</v>
      </c>
      <c r="B20" s="8">
        <f t="shared" si="2"/>
        <v>45336</v>
      </c>
      <c r="C20" s="10" t="s">
        <v>278</v>
      </c>
      <c r="D20" s="31" t="s">
        <v>336</v>
      </c>
      <c r="E20" s="10" t="s">
        <v>23</v>
      </c>
      <c r="F20" s="10">
        <v>19.0</v>
      </c>
      <c r="G20" s="32" t="s">
        <v>306</v>
      </c>
      <c r="H20" s="10" t="s">
        <v>337</v>
      </c>
      <c r="I20" s="13" t="s">
        <v>338</v>
      </c>
      <c r="J20" s="10">
        <f t="shared" si="3"/>
        <v>30</v>
      </c>
      <c r="K20" s="14">
        <f t="shared" si="4"/>
        <v>0.01253656498</v>
      </c>
      <c r="L20" s="10">
        <v>26.0</v>
      </c>
      <c r="M20" s="10">
        <v>3.0</v>
      </c>
      <c r="N20" s="10">
        <v>1.0</v>
      </c>
      <c r="O20" s="10">
        <v>2393.0</v>
      </c>
      <c r="P20" s="33">
        <f t="shared" si="5"/>
        <v>2.25754717</v>
      </c>
    </row>
    <row r="21">
      <c r="A21" s="8" t="str">
        <f t="shared" si="1"/>
        <v>Q1</v>
      </c>
      <c r="B21" s="8">
        <f t="shared" si="2"/>
        <v>45342</v>
      </c>
      <c r="C21" s="10" t="s">
        <v>278</v>
      </c>
      <c r="D21" s="31" t="s">
        <v>339</v>
      </c>
      <c r="E21" s="10" t="s">
        <v>23</v>
      </c>
      <c r="F21" s="10">
        <v>20.0</v>
      </c>
      <c r="G21" s="32" t="s">
        <v>306</v>
      </c>
      <c r="H21" s="10" t="s">
        <v>340</v>
      </c>
      <c r="I21" s="13" t="s">
        <v>341</v>
      </c>
      <c r="J21" s="10">
        <f t="shared" si="3"/>
        <v>129</v>
      </c>
      <c r="K21" s="14">
        <f t="shared" si="4"/>
        <v>0.01933743067</v>
      </c>
      <c r="L21" s="10">
        <v>123.0</v>
      </c>
      <c r="M21" s="10">
        <v>2.0</v>
      </c>
      <c r="N21" s="10">
        <v>4.0</v>
      </c>
      <c r="O21" s="10">
        <v>6671.0</v>
      </c>
      <c r="P21" s="33">
        <f t="shared" si="5"/>
        <v>6.293396226</v>
      </c>
    </row>
    <row r="22">
      <c r="A22" s="8" t="str">
        <f t="shared" si="1"/>
        <v>Q1</v>
      </c>
      <c r="B22" s="8">
        <f t="shared" si="2"/>
        <v>45344</v>
      </c>
      <c r="C22" s="10" t="s">
        <v>278</v>
      </c>
      <c r="D22" s="31" t="s">
        <v>342</v>
      </c>
      <c r="E22" s="10" t="s">
        <v>23</v>
      </c>
      <c r="F22" s="10">
        <v>21.0</v>
      </c>
      <c r="G22" s="34" t="s">
        <v>343</v>
      </c>
      <c r="H22" s="10" t="s">
        <v>344</v>
      </c>
      <c r="I22" s="13" t="s">
        <v>345</v>
      </c>
      <c r="J22" s="10">
        <f t="shared" si="3"/>
        <v>66</v>
      </c>
      <c r="K22" s="14">
        <f t="shared" si="4"/>
        <v>0.01771812081</v>
      </c>
      <c r="L22" s="10">
        <v>65.0</v>
      </c>
      <c r="M22" s="10">
        <v>1.0</v>
      </c>
      <c r="N22" s="10">
        <v>0.0</v>
      </c>
      <c r="O22" s="10">
        <v>3725.0</v>
      </c>
      <c r="P22" s="33">
        <f t="shared" si="5"/>
        <v>3.514150943</v>
      </c>
    </row>
    <row r="23">
      <c r="A23" s="8" t="str">
        <f t="shared" si="1"/>
        <v>Q1</v>
      </c>
      <c r="B23" s="8">
        <f t="shared" si="2"/>
        <v>45352</v>
      </c>
      <c r="C23" s="10" t="s">
        <v>278</v>
      </c>
      <c r="D23" s="31" t="s">
        <v>346</v>
      </c>
      <c r="E23" s="10" t="s">
        <v>24</v>
      </c>
      <c r="F23" s="10">
        <v>22.0</v>
      </c>
      <c r="G23" s="32" t="s">
        <v>306</v>
      </c>
      <c r="H23" s="10" t="s">
        <v>347</v>
      </c>
      <c r="I23" s="13" t="s">
        <v>348</v>
      </c>
      <c r="J23" s="10">
        <f t="shared" si="3"/>
        <v>101</v>
      </c>
      <c r="K23" s="14">
        <f t="shared" si="4"/>
        <v>0.01812959971</v>
      </c>
      <c r="L23" s="10">
        <v>92.0</v>
      </c>
      <c r="M23" s="10">
        <v>3.0</v>
      </c>
      <c r="N23" s="10">
        <v>6.0</v>
      </c>
      <c r="O23" s="10">
        <v>5571.0</v>
      </c>
      <c r="P23" s="33">
        <f t="shared" si="5"/>
        <v>5.255660377</v>
      </c>
    </row>
    <row r="24">
      <c r="A24" s="8" t="str">
        <f t="shared" si="1"/>
        <v>Q1</v>
      </c>
      <c r="B24" s="8">
        <f t="shared" si="2"/>
        <v>45352</v>
      </c>
      <c r="C24" s="10" t="s">
        <v>278</v>
      </c>
      <c r="D24" s="31" t="s">
        <v>349</v>
      </c>
      <c r="E24" s="10" t="s">
        <v>24</v>
      </c>
      <c r="F24" s="10">
        <v>23.0</v>
      </c>
      <c r="G24" s="34" t="s">
        <v>116</v>
      </c>
      <c r="H24" s="10" t="s">
        <v>350</v>
      </c>
      <c r="I24" s="13" t="s">
        <v>351</v>
      </c>
      <c r="J24" s="10">
        <f t="shared" si="3"/>
        <v>64</v>
      </c>
      <c r="K24" s="14">
        <f t="shared" si="4"/>
        <v>0.02569249297</v>
      </c>
      <c r="L24" s="10">
        <v>38.0</v>
      </c>
      <c r="M24" s="10">
        <v>6.0</v>
      </c>
      <c r="N24" s="10">
        <v>20.0</v>
      </c>
      <c r="O24" s="10">
        <v>2491.0</v>
      </c>
      <c r="P24" s="33">
        <f t="shared" si="5"/>
        <v>2.35</v>
      </c>
    </row>
    <row r="25">
      <c r="A25" s="8" t="str">
        <f t="shared" si="1"/>
        <v>Q1</v>
      </c>
      <c r="B25" s="8">
        <f t="shared" si="2"/>
        <v>45359</v>
      </c>
      <c r="C25" s="10" t="s">
        <v>278</v>
      </c>
      <c r="D25" s="31" t="s">
        <v>352</v>
      </c>
      <c r="E25" s="10" t="s">
        <v>23</v>
      </c>
      <c r="F25" s="10">
        <v>24.0</v>
      </c>
      <c r="G25" s="34" t="s">
        <v>106</v>
      </c>
      <c r="H25" s="10" t="s">
        <v>353</v>
      </c>
      <c r="I25" s="13" t="s">
        <v>354</v>
      </c>
      <c r="J25" s="10">
        <f t="shared" si="3"/>
        <v>126</v>
      </c>
      <c r="K25" s="14">
        <f t="shared" si="4"/>
        <v>0.02005730659</v>
      </c>
      <c r="L25" s="10">
        <v>120.0</v>
      </c>
      <c r="M25" s="10">
        <v>4.0</v>
      </c>
      <c r="N25" s="10">
        <v>2.0</v>
      </c>
      <c r="O25" s="10">
        <v>6282.0</v>
      </c>
      <c r="P25" s="33">
        <f t="shared" si="5"/>
        <v>5.926415094</v>
      </c>
    </row>
    <row r="26">
      <c r="A26" s="8" t="str">
        <f t="shared" si="1"/>
        <v>Q1</v>
      </c>
      <c r="B26" s="8">
        <f t="shared" si="2"/>
        <v>45362</v>
      </c>
      <c r="C26" s="10" t="s">
        <v>278</v>
      </c>
      <c r="D26" s="31" t="s">
        <v>355</v>
      </c>
      <c r="E26" s="10" t="s">
        <v>23</v>
      </c>
      <c r="F26" s="10">
        <v>25.0</v>
      </c>
      <c r="G26" s="32" t="s">
        <v>130</v>
      </c>
      <c r="H26" s="10" t="s">
        <v>356</v>
      </c>
      <c r="I26" s="13" t="s">
        <v>357</v>
      </c>
      <c r="J26" s="10">
        <f t="shared" si="3"/>
        <v>47</v>
      </c>
      <c r="K26" s="14">
        <f t="shared" si="4"/>
        <v>0.01361529548</v>
      </c>
      <c r="L26" s="10">
        <v>45.0</v>
      </c>
      <c r="M26" s="10">
        <v>2.0</v>
      </c>
      <c r="N26" s="10">
        <v>0.0</v>
      </c>
      <c r="O26" s="10">
        <v>3452.0</v>
      </c>
      <c r="P26" s="33">
        <f t="shared" si="5"/>
        <v>3.256603774</v>
      </c>
    </row>
    <row r="27">
      <c r="A27" s="8" t="str">
        <f t="shared" si="1"/>
        <v>Q1</v>
      </c>
      <c r="B27" s="8">
        <f t="shared" si="2"/>
        <v>45363</v>
      </c>
      <c r="C27" s="10" t="s">
        <v>278</v>
      </c>
      <c r="D27" s="31" t="s">
        <v>358</v>
      </c>
      <c r="E27" s="10" t="s">
        <v>24</v>
      </c>
      <c r="F27" s="10">
        <v>26.0</v>
      </c>
      <c r="G27" s="32" t="s">
        <v>137</v>
      </c>
      <c r="H27" s="10" t="s">
        <v>359</v>
      </c>
      <c r="I27" s="13" t="s">
        <v>360</v>
      </c>
      <c r="J27" s="10">
        <f t="shared" si="3"/>
        <v>114</v>
      </c>
      <c r="K27" s="14">
        <f t="shared" si="4"/>
        <v>0.0254180602</v>
      </c>
      <c r="L27" s="10">
        <v>104.0</v>
      </c>
      <c r="M27" s="10">
        <v>4.0</v>
      </c>
      <c r="N27" s="10">
        <v>6.0</v>
      </c>
      <c r="O27" s="10">
        <v>4485.0</v>
      </c>
      <c r="P27" s="33">
        <f t="shared" si="5"/>
        <v>4.231132075</v>
      </c>
    </row>
    <row r="28">
      <c r="A28" s="8" t="str">
        <f t="shared" si="1"/>
        <v>Q1</v>
      </c>
      <c r="B28" s="8">
        <f t="shared" si="2"/>
        <v>45366</v>
      </c>
      <c r="C28" s="10" t="s">
        <v>278</v>
      </c>
      <c r="D28" s="31" t="s">
        <v>361</v>
      </c>
      <c r="E28" s="10" t="s">
        <v>23</v>
      </c>
      <c r="F28" s="10">
        <v>27.0</v>
      </c>
      <c r="G28" s="34" t="s">
        <v>343</v>
      </c>
      <c r="H28" s="10" t="s">
        <v>362</v>
      </c>
      <c r="I28" s="13" t="s">
        <v>363</v>
      </c>
      <c r="J28" s="10">
        <f t="shared" si="3"/>
        <v>34</v>
      </c>
      <c r="K28" s="14">
        <f t="shared" si="4"/>
        <v>0.00790330079</v>
      </c>
      <c r="L28" s="10">
        <v>34.0</v>
      </c>
      <c r="M28" s="10">
        <v>0.0</v>
      </c>
      <c r="N28" s="10">
        <v>0.0</v>
      </c>
      <c r="O28" s="10">
        <v>4302.0</v>
      </c>
      <c r="P28" s="33">
        <f t="shared" si="5"/>
        <v>4.058490566</v>
      </c>
    </row>
    <row r="29">
      <c r="A29" s="8" t="str">
        <f t="shared" si="1"/>
        <v>Q1</v>
      </c>
      <c r="B29" s="8">
        <f t="shared" si="2"/>
        <v>45373</v>
      </c>
      <c r="C29" s="10" t="s">
        <v>278</v>
      </c>
      <c r="D29" s="31" t="s">
        <v>364</v>
      </c>
      <c r="E29" s="10" t="s">
        <v>24</v>
      </c>
      <c r="F29" s="10">
        <v>28.0</v>
      </c>
      <c r="G29" s="34" t="s">
        <v>116</v>
      </c>
      <c r="H29" s="10" t="s">
        <v>365</v>
      </c>
      <c r="I29" s="13" t="s">
        <v>366</v>
      </c>
      <c r="J29" s="10">
        <f t="shared" si="3"/>
        <v>58</v>
      </c>
      <c r="K29" s="14">
        <f t="shared" si="4"/>
        <v>0.01363422661</v>
      </c>
      <c r="L29" s="10">
        <v>57.0</v>
      </c>
      <c r="M29" s="10">
        <v>0.0</v>
      </c>
      <c r="N29" s="10">
        <v>1.0</v>
      </c>
      <c r="O29" s="10">
        <v>4254.0</v>
      </c>
      <c r="P29" s="33">
        <f t="shared" si="5"/>
        <v>4.013207547</v>
      </c>
    </row>
    <row r="30">
      <c r="A30" s="8" t="str">
        <f t="shared" si="1"/>
        <v>Q1</v>
      </c>
      <c r="B30" s="8">
        <f t="shared" si="2"/>
        <v>45376</v>
      </c>
      <c r="C30" s="10" t="s">
        <v>278</v>
      </c>
      <c r="D30" s="31" t="s">
        <v>367</v>
      </c>
      <c r="E30" s="10" t="s">
        <v>23</v>
      </c>
      <c r="F30" s="10">
        <v>29.0</v>
      </c>
      <c r="G30" s="34" t="s">
        <v>106</v>
      </c>
      <c r="H30" s="10" t="s">
        <v>368</v>
      </c>
      <c r="I30" s="13" t="s">
        <v>369</v>
      </c>
      <c r="J30" s="10">
        <f t="shared" si="3"/>
        <v>162</v>
      </c>
      <c r="K30" s="14">
        <f t="shared" si="4"/>
        <v>0.01779828609</v>
      </c>
      <c r="L30" s="10">
        <v>143.0</v>
      </c>
      <c r="M30" s="10">
        <v>10.0</v>
      </c>
      <c r="N30" s="10">
        <v>9.0</v>
      </c>
      <c r="O30" s="10">
        <v>9102.0</v>
      </c>
      <c r="P30" s="33">
        <f t="shared" si="5"/>
        <v>8.586792453</v>
      </c>
    </row>
    <row r="31">
      <c r="A31" s="8" t="str">
        <f t="shared" si="1"/>
        <v>Q1</v>
      </c>
      <c r="B31" s="8">
        <f t="shared" si="2"/>
        <v>45377</v>
      </c>
      <c r="C31" s="10" t="s">
        <v>278</v>
      </c>
      <c r="D31" s="31" t="s">
        <v>370</v>
      </c>
      <c r="E31" s="10" t="s">
        <v>23</v>
      </c>
      <c r="F31" s="10">
        <v>30.0</v>
      </c>
      <c r="G31" s="32" t="s">
        <v>371</v>
      </c>
      <c r="H31" s="10" t="s">
        <v>372</v>
      </c>
      <c r="I31" s="13" t="s">
        <v>373</v>
      </c>
      <c r="J31" s="10">
        <f t="shared" si="3"/>
        <v>193</v>
      </c>
      <c r="K31" s="14">
        <f t="shared" si="4"/>
        <v>0.0145649385</v>
      </c>
      <c r="L31" s="10">
        <v>178.0</v>
      </c>
      <c r="M31" s="10">
        <v>6.0</v>
      </c>
      <c r="N31" s="10">
        <v>9.0</v>
      </c>
      <c r="O31" s="10">
        <v>13251.0</v>
      </c>
      <c r="P31" s="33">
        <f t="shared" si="5"/>
        <v>12.5009434</v>
      </c>
    </row>
    <row r="32">
      <c r="A32" s="8" t="str">
        <f t="shared" si="1"/>
        <v>Q1</v>
      </c>
      <c r="B32" s="8">
        <f t="shared" si="2"/>
        <v>45379</v>
      </c>
      <c r="C32" s="10" t="s">
        <v>278</v>
      </c>
      <c r="D32" s="31" t="s">
        <v>168</v>
      </c>
      <c r="E32" s="10" t="s">
        <v>24</v>
      </c>
      <c r="F32" s="10">
        <v>31.0</v>
      </c>
      <c r="G32" s="34" t="s">
        <v>106</v>
      </c>
      <c r="H32" s="10" t="s">
        <v>374</v>
      </c>
      <c r="I32" s="13" t="s">
        <v>375</v>
      </c>
      <c r="J32" s="10">
        <f t="shared" si="3"/>
        <v>281</v>
      </c>
      <c r="K32" s="14">
        <f t="shared" si="4"/>
        <v>0.01852095966</v>
      </c>
      <c r="L32" s="10">
        <v>253.0</v>
      </c>
      <c r="M32" s="10">
        <v>9.0</v>
      </c>
      <c r="N32" s="10">
        <v>19.0</v>
      </c>
      <c r="O32" s="10">
        <v>15172.0</v>
      </c>
      <c r="P32" s="33">
        <f t="shared" si="5"/>
        <v>14.31320755</v>
      </c>
    </row>
    <row r="33">
      <c r="A33" s="8" t="str">
        <f t="shared" si="1"/>
        <v>Q1</v>
      </c>
      <c r="B33" s="8">
        <f t="shared" si="2"/>
        <v>45379</v>
      </c>
      <c r="C33" s="10" t="s">
        <v>278</v>
      </c>
      <c r="D33" s="31" t="s">
        <v>376</v>
      </c>
      <c r="E33" s="10" t="s">
        <v>23</v>
      </c>
      <c r="F33" s="10">
        <v>32.0</v>
      </c>
      <c r="G33" s="34" t="s">
        <v>106</v>
      </c>
      <c r="H33" s="10" t="s">
        <v>377</v>
      </c>
      <c r="I33" s="13" t="s">
        <v>378</v>
      </c>
      <c r="J33" s="10">
        <f t="shared" si="3"/>
        <v>129</v>
      </c>
      <c r="K33" s="14">
        <f t="shared" si="4"/>
        <v>0.02017516422</v>
      </c>
      <c r="L33" s="10">
        <v>120.0</v>
      </c>
      <c r="M33" s="10">
        <v>3.0</v>
      </c>
      <c r="N33" s="10">
        <v>6.0</v>
      </c>
      <c r="O33" s="10">
        <v>6394.0</v>
      </c>
      <c r="P33" s="33">
        <f t="shared" si="5"/>
        <v>6.032075472</v>
      </c>
    </row>
    <row r="34">
      <c r="A34" s="8" t="str">
        <f t="shared" si="1"/>
        <v>Q1</v>
      </c>
      <c r="B34" s="8">
        <f t="shared" si="2"/>
        <v>45380</v>
      </c>
      <c r="C34" s="10" t="s">
        <v>278</v>
      </c>
      <c r="D34" s="31" t="s">
        <v>379</v>
      </c>
      <c r="E34" s="10" t="s">
        <v>24</v>
      </c>
      <c r="F34" s="10">
        <v>33.0</v>
      </c>
      <c r="G34" s="32" t="s">
        <v>42</v>
      </c>
      <c r="H34" s="10" t="s">
        <v>380</v>
      </c>
      <c r="I34" s="13" t="s">
        <v>381</v>
      </c>
      <c r="J34" s="10">
        <f t="shared" si="3"/>
        <v>88</v>
      </c>
      <c r="K34" s="14">
        <f t="shared" si="4"/>
        <v>0.007637562923</v>
      </c>
      <c r="L34" s="10">
        <v>79.0</v>
      </c>
      <c r="M34" s="10">
        <v>7.0</v>
      </c>
      <c r="N34" s="10">
        <v>2.0</v>
      </c>
      <c r="O34" s="10">
        <v>11522.0</v>
      </c>
      <c r="P34" s="33">
        <f t="shared" si="5"/>
        <v>10.86981132</v>
      </c>
    </row>
    <row r="35">
      <c r="A35" s="8" t="str">
        <f t="shared" si="1"/>
        <v>Q2</v>
      </c>
      <c r="B35" s="8">
        <f t="shared" si="2"/>
        <v>45427</v>
      </c>
      <c r="C35" s="10" t="s">
        <v>278</v>
      </c>
      <c r="D35" s="31" t="s">
        <v>382</v>
      </c>
      <c r="E35" s="10" t="s">
        <v>24</v>
      </c>
      <c r="F35" s="10">
        <v>34.0</v>
      </c>
      <c r="G35" s="32" t="s">
        <v>106</v>
      </c>
      <c r="H35" s="10" t="s">
        <v>383</v>
      </c>
      <c r="I35" s="13" t="s">
        <v>384</v>
      </c>
      <c r="J35" s="10">
        <f t="shared" si="3"/>
        <v>61</v>
      </c>
      <c r="K35" s="14">
        <f t="shared" si="4"/>
        <v>0.01884460921</v>
      </c>
      <c r="L35" s="10">
        <v>58.0</v>
      </c>
      <c r="M35" s="10">
        <v>2.0</v>
      </c>
      <c r="N35" s="10">
        <v>1.0</v>
      </c>
      <c r="O35" s="10">
        <v>3237.0</v>
      </c>
      <c r="P35" s="33">
        <f t="shared" si="5"/>
        <v>3.053773585</v>
      </c>
    </row>
    <row r="36">
      <c r="A36" s="8" t="str">
        <f t="shared" si="1"/>
        <v>Q2</v>
      </c>
      <c r="B36" s="8">
        <f t="shared" si="2"/>
        <v>45430</v>
      </c>
      <c r="C36" s="10" t="s">
        <v>278</v>
      </c>
      <c r="D36" s="31" t="s">
        <v>385</v>
      </c>
      <c r="E36" s="10" t="s">
        <v>24</v>
      </c>
      <c r="F36" s="10">
        <v>35.0</v>
      </c>
      <c r="G36" s="32" t="s">
        <v>215</v>
      </c>
      <c r="H36" s="10" t="s">
        <v>386</v>
      </c>
      <c r="I36" s="13" t="s">
        <v>387</v>
      </c>
      <c r="J36" s="10">
        <f t="shared" si="3"/>
        <v>78</v>
      </c>
      <c r="K36" s="14">
        <f t="shared" si="4"/>
        <v>0.01008664167</v>
      </c>
      <c r="L36" s="10">
        <v>73.0</v>
      </c>
      <c r="M36" s="10">
        <v>2.0</v>
      </c>
      <c r="N36" s="10">
        <v>3.0</v>
      </c>
      <c r="O36" s="10">
        <v>7733.0</v>
      </c>
      <c r="P36" s="33">
        <f t="shared" si="5"/>
        <v>7.295283019</v>
      </c>
    </row>
    <row r="37">
      <c r="A37" s="8" t="str">
        <f t="shared" si="1"/>
        <v>Q2</v>
      </c>
      <c r="B37" s="8">
        <f t="shared" si="2"/>
        <v>45450</v>
      </c>
      <c r="C37" s="10" t="s">
        <v>278</v>
      </c>
      <c r="D37" s="31" t="s">
        <v>388</v>
      </c>
      <c r="E37" s="10" t="s">
        <v>23</v>
      </c>
      <c r="F37" s="10">
        <v>36.0</v>
      </c>
      <c r="G37" s="34" t="s">
        <v>106</v>
      </c>
      <c r="H37" s="10" t="s">
        <v>389</v>
      </c>
      <c r="I37" s="13" t="s">
        <v>390</v>
      </c>
      <c r="J37" s="10">
        <f t="shared" si="3"/>
        <v>33</v>
      </c>
      <c r="K37" s="14">
        <f t="shared" si="4"/>
        <v>0.01080550098</v>
      </c>
      <c r="L37" s="10">
        <v>32.0</v>
      </c>
      <c r="M37" s="10">
        <v>1.0</v>
      </c>
      <c r="N37" s="10">
        <v>0.0</v>
      </c>
      <c r="O37" s="10">
        <v>3054.0</v>
      </c>
      <c r="P37" s="33">
        <f t="shared" si="5"/>
        <v>2.881132075</v>
      </c>
    </row>
    <row r="38">
      <c r="A38" s="8" t="str">
        <f t="shared" si="1"/>
        <v>Q2</v>
      </c>
      <c r="B38" s="8">
        <f t="shared" si="2"/>
        <v>45455</v>
      </c>
      <c r="C38" s="10" t="s">
        <v>278</v>
      </c>
      <c r="D38" s="31" t="s">
        <v>391</v>
      </c>
      <c r="E38" s="10" t="s">
        <v>23</v>
      </c>
      <c r="F38" s="10">
        <v>37.0</v>
      </c>
      <c r="G38" s="32" t="s">
        <v>240</v>
      </c>
      <c r="H38" s="10" t="s">
        <v>392</v>
      </c>
      <c r="I38" s="13" t="s">
        <v>393</v>
      </c>
      <c r="J38" s="10">
        <f t="shared" si="3"/>
        <v>44</v>
      </c>
      <c r="K38" s="14">
        <f t="shared" si="4"/>
        <v>0.01397712834</v>
      </c>
      <c r="L38" s="10">
        <v>44.0</v>
      </c>
      <c r="M38" s="10">
        <v>0.0</v>
      </c>
      <c r="N38" s="10">
        <v>0.0</v>
      </c>
      <c r="O38" s="10">
        <v>3148.0</v>
      </c>
      <c r="P38" s="33">
        <f t="shared" si="5"/>
        <v>2.969811321</v>
      </c>
    </row>
    <row r="39">
      <c r="A39" s="8" t="str">
        <f t="shared" si="1"/>
        <v>Q2</v>
      </c>
      <c r="B39" s="8">
        <f t="shared" si="2"/>
        <v>45459</v>
      </c>
      <c r="C39" s="10" t="s">
        <v>278</v>
      </c>
      <c r="D39" s="31" t="s">
        <v>394</v>
      </c>
      <c r="E39" s="10" t="s">
        <v>23</v>
      </c>
      <c r="F39" s="10">
        <v>38.0</v>
      </c>
      <c r="G39" s="32" t="s">
        <v>306</v>
      </c>
      <c r="H39" s="10" t="s">
        <v>395</v>
      </c>
      <c r="I39" s="13" t="s">
        <v>396</v>
      </c>
      <c r="J39" s="10">
        <f t="shared" si="3"/>
        <v>31</v>
      </c>
      <c r="K39" s="14">
        <f t="shared" si="4"/>
        <v>0.006442227764</v>
      </c>
      <c r="L39" s="10">
        <v>31.0</v>
      </c>
      <c r="M39" s="10">
        <v>0.0</v>
      </c>
      <c r="N39" s="10">
        <v>0.0</v>
      </c>
      <c r="O39" s="10">
        <v>4812.0</v>
      </c>
      <c r="P39" s="33">
        <f t="shared" si="5"/>
        <v>4.539622642</v>
      </c>
    </row>
    <row r="40">
      <c r="A40" s="8" t="str">
        <f t="shared" si="1"/>
        <v>Q2</v>
      </c>
      <c r="B40" s="8">
        <f t="shared" si="2"/>
        <v>45470</v>
      </c>
      <c r="C40" s="10" t="s">
        <v>278</v>
      </c>
      <c r="D40" s="31" t="s">
        <v>397</v>
      </c>
      <c r="E40" s="10" t="s">
        <v>23</v>
      </c>
      <c r="F40" s="10">
        <v>39.0</v>
      </c>
      <c r="G40" s="32" t="s">
        <v>306</v>
      </c>
      <c r="H40" s="10" t="s">
        <v>398</v>
      </c>
      <c r="I40" s="13" t="s">
        <v>399</v>
      </c>
      <c r="J40" s="10">
        <f t="shared" si="3"/>
        <v>36</v>
      </c>
      <c r="K40" s="14">
        <f t="shared" si="4"/>
        <v>0.0146998775</v>
      </c>
      <c r="L40" s="10">
        <v>34.0</v>
      </c>
      <c r="M40" s="10">
        <v>0.0</v>
      </c>
      <c r="N40" s="10">
        <v>2.0</v>
      </c>
      <c r="O40" s="10">
        <v>2449.0</v>
      </c>
      <c r="P40" s="33">
        <f t="shared" si="5"/>
        <v>2.310377358</v>
      </c>
    </row>
    <row r="41">
      <c r="A41" s="35"/>
      <c r="B41" s="35"/>
      <c r="D41" s="36"/>
      <c r="K41" s="26"/>
      <c r="P41" s="33"/>
    </row>
    <row r="42">
      <c r="A42" s="35"/>
      <c r="B42" s="35"/>
      <c r="D42" s="36"/>
      <c r="K42" s="26"/>
      <c r="P42" s="33"/>
    </row>
    <row r="43">
      <c r="A43" s="35"/>
      <c r="B43" s="35"/>
      <c r="D43" s="36"/>
      <c r="K43" s="26"/>
      <c r="P43" s="33"/>
    </row>
    <row r="44">
      <c r="A44" s="35"/>
      <c r="B44" s="35"/>
      <c r="D44" s="36"/>
      <c r="K44" s="26"/>
      <c r="P44" s="33"/>
    </row>
    <row r="45">
      <c r="A45" s="35"/>
      <c r="B45" s="35"/>
      <c r="D45" s="36"/>
      <c r="K45" s="26"/>
      <c r="P45" s="33"/>
    </row>
    <row r="46">
      <c r="A46" s="35"/>
      <c r="B46" s="35"/>
      <c r="D46" s="36"/>
      <c r="K46" s="26"/>
      <c r="P46" s="33"/>
    </row>
    <row r="47">
      <c r="A47" s="35"/>
      <c r="B47" s="35"/>
      <c r="D47" s="36"/>
      <c r="K47" s="26"/>
      <c r="P47" s="33"/>
    </row>
    <row r="48">
      <c r="A48" s="35"/>
      <c r="B48" s="35"/>
      <c r="D48" s="36"/>
      <c r="K48" s="26"/>
      <c r="P48" s="33"/>
    </row>
    <row r="49">
      <c r="A49" s="35"/>
      <c r="B49" s="35"/>
      <c r="D49" s="36"/>
      <c r="K49" s="26"/>
      <c r="P49" s="33"/>
    </row>
    <row r="50">
      <c r="A50" s="35"/>
      <c r="B50" s="35"/>
      <c r="D50" s="36"/>
      <c r="K50" s="26"/>
      <c r="P50" s="33"/>
    </row>
    <row r="51">
      <c r="A51" s="35"/>
      <c r="B51" s="35"/>
      <c r="D51" s="36"/>
      <c r="K51" s="26"/>
      <c r="P51" s="33"/>
    </row>
    <row r="52">
      <c r="A52" s="35"/>
      <c r="B52" s="35"/>
      <c r="D52" s="36"/>
      <c r="K52" s="26"/>
      <c r="P52" s="33"/>
    </row>
    <row r="53">
      <c r="A53" s="35"/>
      <c r="B53" s="35"/>
      <c r="D53" s="36"/>
      <c r="K53" s="26"/>
      <c r="P53" s="33"/>
    </row>
    <row r="54">
      <c r="A54" s="35"/>
      <c r="B54" s="35"/>
      <c r="D54" s="36"/>
      <c r="K54" s="26"/>
      <c r="P54" s="33"/>
    </row>
    <row r="55">
      <c r="A55" s="35"/>
      <c r="B55" s="35"/>
      <c r="D55" s="36"/>
      <c r="K55" s="26"/>
      <c r="P55" s="33"/>
    </row>
    <row r="56">
      <c r="A56" s="35"/>
      <c r="B56" s="35"/>
      <c r="D56" s="36"/>
      <c r="K56" s="26"/>
      <c r="P56" s="33"/>
    </row>
    <row r="57">
      <c r="A57" s="35"/>
      <c r="B57" s="35"/>
      <c r="D57" s="36"/>
      <c r="K57" s="26"/>
      <c r="P57" s="33"/>
    </row>
    <row r="58">
      <c r="A58" s="35"/>
      <c r="B58" s="35"/>
      <c r="D58" s="36"/>
      <c r="K58" s="26"/>
      <c r="P58" s="33"/>
    </row>
    <row r="59">
      <c r="A59" s="35"/>
      <c r="B59" s="35"/>
      <c r="D59" s="36"/>
      <c r="K59" s="26"/>
      <c r="P59" s="33"/>
    </row>
    <row r="60">
      <c r="A60" s="35"/>
      <c r="B60" s="35"/>
      <c r="D60" s="36"/>
      <c r="K60" s="26"/>
      <c r="P60" s="33"/>
    </row>
    <row r="61">
      <c r="A61" s="35"/>
      <c r="B61" s="35"/>
      <c r="D61" s="36"/>
      <c r="K61" s="26"/>
      <c r="P61" s="33"/>
    </row>
    <row r="62">
      <c r="A62" s="35"/>
      <c r="B62" s="35"/>
      <c r="D62" s="36"/>
      <c r="K62" s="26"/>
      <c r="P62" s="33"/>
    </row>
    <row r="63">
      <c r="A63" s="35"/>
      <c r="B63" s="35"/>
      <c r="D63" s="36"/>
      <c r="K63" s="26"/>
      <c r="P63" s="33"/>
    </row>
    <row r="64">
      <c r="A64" s="35"/>
      <c r="B64" s="35"/>
      <c r="D64" s="36"/>
      <c r="K64" s="26"/>
      <c r="P64" s="33"/>
    </row>
    <row r="65">
      <c r="A65" s="35"/>
      <c r="B65" s="35"/>
      <c r="D65" s="36"/>
      <c r="K65" s="26"/>
      <c r="P65" s="33"/>
    </row>
    <row r="66">
      <c r="A66" s="35"/>
      <c r="B66" s="35"/>
      <c r="D66" s="36"/>
      <c r="K66" s="26"/>
      <c r="P66" s="33"/>
    </row>
    <row r="67">
      <c r="A67" s="35"/>
      <c r="B67" s="35"/>
      <c r="D67" s="36"/>
      <c r="K67" s="26"/>
      <c r="P67" s="33"/>
    </row>
    <row r="68">
      <c r="A68" s="35"/>
      <c r="B68" s="35"/>
      <c r="D68" s="36"/>
      <c r="K68" s="26"/>
      <c r="P68" s="33"/>
    </row>
    <row r="69">
      <c r="A69" s="35"/>
      <c r="B69" s="35"/>
      <c r="D69" s="36"/>
      <c r="K69" s="26"/>
      <c r="P69" s="33"/>
    </row>
    <row r="70">
      <c r="A70" s="35"/>
      <c r="B70" s="35"/>
      <c r="D70" s="36"/>
      <c r="K70" s="26"/>
      <c r="P70" s="33"/>
    </row>
    <row r="71">
      <c r="A71" s="35"/>
      <c r="B71" s="35"/>
      <c r="D71" s="36"/>
      <c r="K71" s="26"/>
      <c r="P71" s="33"/>
    </row>
    <row r="72">
      <c r="A72" s="35"/>
      <c r="B72" s="35"/>
      <c r="D72" s="36"/>
      <c r="K72" s="26"/>
      <c r="P72" s="33"/>
    </row>
    <row r="73">
      <c r="A73" s="35"/>
      <c r="B73" s="35"/>
      <c r="D73" s="36"/>
      <c r="K73" s="26"/>
      <c r="P73" s="33"/>
    </row>
    <row r="74">
      <c r="A74" s="35"/>
      <c r="B74" s="35"/>
      <c r="D74" s="36"/>
      <c r="K74" s="26"/>
      <c r="P74" s="33"/>
    </row>
    <row r="75">
      <c r="A75" s="35"/>
      <c r="B75" s="35"/>
      <c r="D75" s="36"/>
      <c r="K75" s="26"/>
      <c r="P75" s="33"/>
    </row>
    <row r="76">
      <c r="A76" s="35"/>
      <c r="B76" s="35"/>
      <c r="D76" s="36"/>
      <c r="K76" s="26"/>
      <c r="P76" s="33"/>
    </row>
    <row r="77">
      <c r="A77" s="35"/>
      <c r="B77" s="35"/>
      <c r="D77" s="36"/>
      <c r="K77" s="26"/>
      <c r="P77" s="33"/>
    </row>
    <row r="78">
      <c r="A78" s="35"/>
      <c r="B78" s="35"/>
      <c r="D78" s="36"/>
      <c r="K78" s="26"/>
      <c r="P78" s="33"/>
    </row>
    <row r="79">
      <c r="A79" s="35"/>
      <c r="B79" s="35"/>
      <c r="D79" s="36"/>
      <c r="K79" s="26"/>
      <c r="P79" s="33"/>
    </row>
    <row r="80">
      <c r="A80" s="35"/>
      <c r="B80" s="35"/>
      <c r="D80" s="36"/>
      <c r="K80" s="26"/>
      <c r="P80" s="33"/>
    </row>
    <row r="81">
      <c r="A81" s="35"/>
      <c r="B81" s="35"/>
      <c r="D81" s="36"/>
      <c r="K81" s="26"/>
      <c r="P81" s="33"/>
    </row>
    <row r="82">
      <c r="A82" s="35"/>
      <c r="B82" s="35"/>
      <c r="D82" s="36"/>
      <c r="K82" s="26"/>
      <c r="P82" s="33"/>
    </row>
    <row r="83">
      <c r="A83" s="35"/>
      <c r="B83" s="35"/>
      <c r="D83" s="36"/>
      <c r="K83" s="26"/>
      <c r="P83" s="33"/>
    </row>
    <row r="84">
      <c r="A84" s="35"/>
      <c r="B84" s="35"/>
      <c r="D84" s="36"/>
      <c r="K84" s="26"/>
      <c r="P84" s="33"/>
    </row>
    <row r="85">
      <c r="A85" s="35"/>
      <c r="B85" s="35"/>
      <c r="D85" s="36"/>
      <c r="K85" s="26"/>
      <c r="P85" s="33"/>
    </row>
    <row r="86">
      <c r="A86" s="35"/>
      <c r="B86" s="35"/>
      <c r="D86" s="36"/>
      <c r="K86" s="26"/>
      <c r="P86" s="33"/>
    </row>
    <row r="87">
      <c r="A87" s="35"/>
      <c r="B87" s="35"/>
      <c r="D87" s="36"/>
      <c r="K87" s="26"/>
      <c r="P87" s="33"/>
    </row>
    <row r="88">
      <c r="A88" s="35"/>
      <c r="B88" s="35"/>
      <c r="D88" s="36"/>
      <c r="K88" s="26"/>
      <c r="P88" s="33"/>
    </row>
    <row r="89">
      <c r="A89" s="35"/>
      <c r="B89" s="35"/>
      <c r="D89" s="36"/>
      <c r="K89" s="26"/>
      <c r="P89" s="33"/>
    </row>
    <row r="90">
      <c r="A90" s="35"/>
      <c r="B90" s="35"/>
      <c r="D90" s="36"/>
      <c r="K90" s="26"/>
      <c r="P90" s="33"/>
    </row>
    <row r="91">
      <c r="A91" s="35"/>
      <c r="B91" s="35"/>
      <c r="D91" s="36"/>
      <c r="K91" s="26"/>
      <c r="P91" s="33"/>
    </row>
    <row r="92">
      <c r="A92" s="35"/>
      <c r="B92" s="35"/>
      <c r="D92" s="36"/>
      <c r="K92" s="26"/>
      <c r="P92" s="33"/>
    </row>
    <row r="93">
      <c r="A93" s="35"/>
      <c r="B93" s="35"/>
      <c r="D93" s="36"/>
      <c r="K93" s="26"/>
      <c r="P93" s="33"/>
    </row>
    <row r="94">
      <c r="A94" s="35"/>
      <c r="B94" s="35"/>
      <c r="D94" s="36"/>
      <c r="K94" s="26"/>
      <c r="P94" s="33"/>
    </row>
    <row r="95">
      <c r="A95" s="35"/>
      <c r="B95" s="35"/>
      <c r="D95" s="36"/>
      <c r="K95" s="26"/>
      <c r="P95" s="33"/>
    </row>
    <row r="96">
      <c r="A96" s="35"/>
      <c r="B96" s="35"/>
      <c r="D96" s="36"/>
      <c r="K96" s="26"/>
      <c r="P96" s="33"/>
    </row>
    <row r="97">
      <c r="A97" s="35"/>
      <c r="B97" s="35"/>
      <c r="D97" s="36"/>
      <c r="K97" s="26"/>
      <c r="P97" s="33"/>
    </row>
    <row r="98">
      <c r="A98" s="35"/>
      <c r="B98" s="35"/>
      <c r="D98" s="36"/>
      <c r="K98" s="26"/>
      <c r="P98" s="33"/>
    </row>
    <row r="99">
      <c r="A99" s="35"/>
      <c r="B99" s="35"/>
      <c r="D99" s="36"/>
      <c r="K99" s="26"/>
      <c r="P99" s="33"/>
    </row>
    <row r="100">
      <c r="A100" s="35"/>
      <c r="B100" s="35"/>
      <c r="D100" s="36"/>
      <c r="K100" s="26"/>
      <c r="P100" s="33"/>
    </row>
    <row r="101">
      <c r="A101" s="35"/>
      <c r="B101" s="35"/>
      <c r="D101" s="36"/>
      <c r="K101" s="26"/>
      <c r="P101" s="33"/>
    </row>
    <row r="102">
      <c r="A102" s="35"/>
      <c r="B102" s="35"/>
      <c r="D102" s="36"/>
      <c r="K102" s="26"/>
      <c r="P102" s="33"/>
    </row>
    <row r="103">
      <c r="A103" s="35"/>
      <c r="B103" s="35"/>
      <c r="D103" s="36"/>
      <c r="K103" s="26"/>
      <c r="P103" s="33"/>
    </row>
    <row r="104">
      <c r="A104" s="35"/>
      <c r="B104" s="35"/>
      <c r="D104" s="36"/>
      <c r="K104" s="26"/>
      <c r="P104" s="33"/>
    </row>
    <row r="105">
      <c r="A105" s="35"/>
      <c r="B105" s="35"/>
      <c r="D105" s="36"/>
      <c r="K105" s="26"/>
      <c r="P105" s="33"/>
    </row>
    <row r="106">
      <c r="A106" s="35"/>
      <c r="B106" s="35"/>
      <c r="D106" s="36"/>
      <c r="K106" s="26"/>
      <c r="P106" s="33"/>
    </row>
    <row r="107">
      <c r="A107" s="35"/>
      <c r="B107" s="35"/>
      <c r="D107" s="36"/>
      <c r="K107" s="26"/>
      <c r="P107" s="33"/>
    </row>
    <row r="108">
      <c r="A108" s="35"/>
      <c r="B108" s="35"/>
      <c r="D108" s="36"/>
      <c r="K108" s="26"/>
      <c r="P108" s="33"/>
    </row>
    <row r="109">
      <c r="A109" s="35"/>
      <c r="B109" s="35"/>
      <c r="D109" s="36"/>
      <c r="K109" s="26"/>
      <c r="P109" s="33"/>
    </row>
    <row r="110">
      <c r="A110" s="35"/>
      <c r="B110" s="35"/>
      <c r="D110" s="36"/>
      <c r="K110" s="26"/>
      <c r="P110" s="33"/>
    </row>
    <row r="111">
      <c r="A111" s="35"/>
      <c r="B111" s="35"/>
      <c r="D111" s="36"/>
      <c r="K111" s="26"/>
      <c r="P111" s="33"/>
    </row>
    <row r="112">
      <c r="A112" s="35"/>
      <c r="B112" s="35"/>
      <c r="D112" s="36"/>
      <c r="K112" s="26"/>
      <c r="P112" s="33"/>
    </row>
    <row r="113">
      <c r="A113" s="35"/>
      <c r="B113" s="35"/>
      <c r="D113" s="36"/>
      <c r="K113" s="26"/>
      <c r="P113" s="33"/>
    </row>
    <row r="114">
      <c r="A114" s="35"/>
      <c r="B114" s="35"/>
      <c r="D114" s="36"/>
      <c r="K114" s="26"/>
      <c r="P114" s="33"/>
    </row>
    <row r="115">
      <c r="A115" s="35"/>
      <c r="B115" s="35"/>
      <c r="D115" s="36"/>
      <c r="K115" s="26"/>
      <c r="P115" s="33"/>
    </row>
    <row r="116">
      <c r="A116" s="35"/>
      <c r="B116" s="35"/>
      <c r="D116" s="36"/>
      <c r="K116" s="26"/>
      <c r="P116" s="33"/>
    </row>
    <row r="117">
      <c r="A117" s="35"/>
      <c r="B117" s="35"/>
      <c r="D117" s="36"/>
      <c r="K117" s="26"/>
      <c r="P117" s="33"/>
    </row>
    <row r="118">
      <c r="A118" s="35"/>
      <c r="B118" s="35"/>
      <c r="D118" s="36"/>
      <c r="K118" s="26"/>
      <c r="P118" s="33"/>
    </row>
    <row r="119">
      <c r="A119" s="35"/>
      <c r="B119" s="35"/>
      <c r="D119" s="36"/>
      <c r="K119" s="26"/>
      <c r="P119" s="33"/>
    </row>
    <row r="120">
      <c r="A120" s="35"/>
      <c r="B120" s="35"/>
      <c r="D120" s="36"/>
      <c r="K120" s="26"/>
      <c r="P120" s="33"/>
    </row>
    <row r="121">
      <c r="A121" s="35"/>
      <c r="B121" s="35"/>
      <c r="D121" s="36"/>
      <c r="K121" s="26"/>
      <c r="P121" s="33"/>
    </row>
    <row r="122">
      <c r="A122" s="35"/>
      <c r="B122" s="35"/>
      <c r="D122" s="36"/>
      <c r="K122" s="26"/>
      <c r="P122" s="33"/>
    </row>
    <row r="123">
      <c r="A123" s="35"/>
      <c r="B123" s="35"/>
      <c r="D123" s="36"/>
      <c r="K123" s="26"/>
      <c r="P123" s="33"/>
    </row>
    <row r="124">
      <c r="A124" s="35"/>
      <c r="B124" s="35"/>
      <c r="D124" s="36"/>
      <c r="K124" s="26"/>
      <c r="P124" s="33"/>
    </row>
    <row r="125">
      <c r="A125" s="35"/>
      <c r="B125" s="35"/>
      <c r="D125" s="36"/>
      <c r="K125" s="26"/>
      <c r="P125" s="33"/>
    </row>
    <row r="126">
      <c r="A126" s="35"/>
      <c r="B126" s="35"/>
      <c r="D126" s="36"/>
      <c r="K126" s="26"/>
      <c r="P126" s="33"/>
    </row>
    <row r="127">
      <c r="A127" s="35"/>
      <c r="B127" s="35"/>
      <c r="D127" s="36"/>
      <c r="K127" s="26"/>
      <c r="P127" s="33"/>
    </row>
    <row r="128">
      <c r="A128" s="35"/>
      <c r="B128" s="35"/>
      <c r="D128" s="36"/>
      <c r="K128" s="26"/>
      <c r="P128" s="33"/>
    </row>
    <row r="129">
      <c r="A129" s="35"/>
      <c r="B129" s="35"/>
      <c r="D129" s="36"/>
      <c r="K129" s="26"/>
      <c r="P129" s="33"/>
    </row>
    <row r="130">
      <c r="A130" s="35"/>
      <c r="B130" s="35"/>
      <c r="D130" s="36"/>
      <c r="K130" s="26"/>
      <c r="P130" s="33"/>
    </row>
    <row r="131">
      <c r="A131" s="35"/>
      <c r="B131" s="35"/>
      <c r="D131" s="36"/>
      <c r="K131" s="26"/>
      <c r="P131" s="33"/>
    </row>
    <row r="132">
      <c r="A132" s="35"/>
      <c r="B132" s="35"/>
      <c r="D132" s="36"/>
      <c r="K132" s="26"/>
      <c r="P132" s="33"/>
    </row>
    <row r="133">
      <c r="A133" s="35"/>
      <c r="B133" s="35"/>
      <c r="D133" s="36"/>
      <c r="K133" s="26"/>
      <c r="P133" s="33"/>
    </row>
    <row r="134">
      <c r="A134" s="35"/>
      <c r="B134" s="35"/>
      <c r="D134" s="36"/>
      <c r="K134" s="26"/>
      <c r="P134" s="33"/>
    </row>
    <row r="135">
      <c r="A135" s="35"/>
      <c r="B135" s="35"/>
      <c r="D135" s="36"/>
      <c r="K135" s="26"/>
      <c r="P135" s="33"/>
    </row>
    <row r="136">
      <c r="A136" s="35"/>
      <c r="B136" s="35"/>
      <c r="D136" s="36"/>
      <c r="K136" s="26"/>
      <c r="P136" s="33"/>
    </row>
    <row r="137">
      <c r="A137" s="35"/>
      <c r="B137" s="35"/>
      <c r="D137" s="36"/>
      <c r="K137" s="26"/>
      <c r="P137" s="33"/>
    </row>
    <row r="138">
      <c r="A138" s="35"/>
      <c r="B138" s="35"/>
      <c r="D138" s="36"/>
      <c r="K138" s="26"/>
      <c r="P138" s="33"/>
    </row>
    <row r="139">
      <c r="A139" s="35"/>
      <c r="B139" s="35"/>
      <c r="D139" s="36"/>
      <c r="K139" s="26"/>
      <c r="P139" s="33"/>
    </row>
    <row r="140">
      <c r="A140" s="35"/>
      <c r="B140" s="35"/>
      <c r="D140" s="36"/>
      <c r="K140" s="26"/>
      <c r="P140" s="33"/>
    </row>
    <row r="141">
      <c r="A141" s="35"/>
      <c r="B141" s="35"/>
      <c r="D141" s="36"/>
      <c r="K141" s="26"/>
      <c r="P141" s="33"/>
    </row>
    <row r="142">
      <c r="A142" s="35"/>
      <c r="B142" s="35"/>
      <c r="D142" s="36"/>
      <c r="K142" s="26"/>
      <c r="P142" s="33"/>
    </row>
    <row r="143">
      <c r="A143" s="35"/>
      <c r="B143" s="35"/>
      <c r="D143" s="36"/>
      <c r="K143" s="26"/>
      <c r="P143" s="33"/>
    </row>
    <row r="144">
      <c r="A144" s="35"/>
      <c r="B144" s="35"/>
      <c r="D144" s="36"/>
      <c r="K144" s="26"/>
      <c r="P144" s="33"/>
    </row>
    <row r="145">
      <c r="A145" s="35"/>
      <c r="B145" s="35"/>
      <c r="D145" s="36"/>
      <c r="K145" s="26"/>
      <c r="P145" s="33"/>
    </row>
    <row r="146">
      <c r="A146" s="35"/>
      <c r="B146" s="35"/>
      <c r="D146" s="36"/>
      <c r="K146" s="26"/>
      <c r="P146" s="33"/>
    </row>
    <row r="147">
      <c r="A147" s="35"/>
      <c r="B147" s="35"/>
      <c r="D147" s="36"/>
      <c r="K147" s="26"/>
      <c r="P147" s="33"/>
    </row>
    <row r="148">
      <c r="A148" s="35"/>
      <c r="B148" s="35"/>
      <c r="D148" s="36"/>
      <c r="K148" s="26"/>
      <c r="P148" s="33"/>
    </row>
    <row r="149">
      <c r="A149" s="35"/>
      <c r="B149" s="35"/>
      <c r="D149" s="36"/>
      <c r="K149" s="26"/>
      <c r="P149" s="33"/>
    </row>
    <row r="150">
      <c r="A150" s="35"/>
      <c r="B150" s="35"/>
      <c r="D150" s="36"/>
      <c r="K150" s="26"/>
      <c r="P150" s="33"/>
    </row>
    <row r="151">
      <c r="A151" s="35"/>
      <c r="B151" s="35"/>
      <c r="D151" s="36"/>
      <c r="K151" s="26"/>
      <c r="P151" s="33"/>
    </row>
    <row r="152">
      <c r="A152" s="35"/>
      <c r="B152" s="35"/>
      <c r="D152" s="36"/>
      <c r="K152" s="26"/>
      <c r="P152" s="33"/>
    </row>
    <row r="153">
      <c r="A153" s="35"/>
      <c r="B153" s="35"/>
      <c r="D153" s="36"/>
      <c r="K153" s="26"/>
      <c r="P153" s="33"/>
    </row>
    <row r="154">
      <c r="A154" s="35"/>
      <c r="B154" s="35"/>
      <c r="D154" s="36"/>
      <c r="K154" s="26"/>
      <c r="P154" s="33"/>
    </row>
    <row r="155">
      <c r="A155" s="35"/>
      <c r="B155" s="35"/>
      <c r="D155" s="36"/>
      <c r="K155" s="26"/>
      <c r="P155" s="33"/>
    </row>
    <row r="156">
      <c r="A156" s="35"/>
      <c r="B156" s="35"/>
      <c r="D156" s="36"/>
      <c r="K156" s="26"/>
      <c r="P156" s="33"/>
    </row>
    <row r="157">
      <c r="A157" s="35"/>
      <c r="B157" s="35"/>
      <c r="D157" s="36"/>
      <c r="K157" s="26"/>
      <c r="P157" s="33"/>
    </row>
    <row r="158">
      <c r="A158" s="35"/>
      <c r="B158" s="35"/>
      <c r="D158" s="36"/>
      <c r="K158" s="26"/>
      <c r="P158" s="33"/>
    </row>
    <row r="159">
      <c r="A159" s="35"/>
      <c r="B159" s="35"/>
      <c r="D159" s="36"/>
      <c r="K159" s="26"/>
      <c r="P159" s="33"/>
    </row>
    <row r="160">
      <c r="A160" s="35"/>
      <c r="B160" s="35"/>
      <c r="D160" s="36"/>
      <c r="K160" s="26"/>
      <c r="P160" s="33"/>
    </row>
    <row r="161">
      <c r="A161" s="35"/>
      <c r="B161" s="35"/>
      <c r="D161" s="36"/>
      <c r="K161" s="26"/>
      <c r="P161" s="33"/>
    </row>
    <row r="162">
      <c r="A162" s="35"/>
      <c r="B162" s="35"/>
      <c r="D162" s="36"/>
      <c r="K162" s="26"/>
      <c r="P162" s="33"/>
    </row>
    <row r="163">
      <c r="A163" s="35"/>
      <c r="B163" s="35"/>
      <c r="D163" s="36"/>
      <c r="K163" s="26"/>
      <c r="P163" s="33"/>
    </row>
    <row r="164">
      <c r="A164" s="35"/>
      <c r="B164" s="35"/>
      <c r="D164" s="36"/>
      <c r="K164" s="26"/>
      <c r="P164" s="33"/>
    </row>
    <row r="165">
      <c r="A165" s="35"/>
      <c r="B165" s="35"/>
      <c r="D165" s="36"/>
      <c r="K165" s="26"/>
      <c r="P165" s="33"/>
    </row>
    <row r="166">
      <c r="A166" s="35"/>
      <c r="B166" s="35"/>
      <c r="D166" s="36"/>
      <c r="K166" s="26"/>
      <c r="P166" s="33"/>
    </row>
    <row r="167">
      <c r="A167" s="35"/>
      <c r="B167" s="35"/>
      <c r="D167" s="36"/>
      <c r="K167" s="26"/>
      <c r="P167" s="33"/>
    </row>
    <row r="168">
      <c r="A168" s="35"/>
      <c r="B168" s="35"/>
      <c r="D168" s="36"/>
      <c r="K168" s="26"/>
      <c r="P168" s="33"/>
    </row>
    <row r="169">
      <c r="A169" s="35"/>
      <c r="B169" s="35"/>
      <c r="D169" s="36"/>
      <c r="K169" s="26"/>
      <c r="P169" s="33"/>
    </row>
    <row r="170">
      <c r="A170" s="35"/>
      <c r="B170" s="35"/>
      <c r="D170" s="36"/>
      <c r="K170" s="26"/>
      <c r="P170" s="33"/>
    </row>
    <row r="171">
      <c r="A171" s="35"/>
      <c r="B171" s="35"/>
      <c r="D171" s="36"/>
      <c r="K171" s="26"/>
      <c r="P171" s="33"/>
    </row>
    <row r="172">
      <c r="A172" s="35"/>
      <c r="B172" s="35"/>
      <c r="D172" s="36"/>
      <c r="K172" s="26"/>
      <c r="P172" s="33"/>
    </row>
    <row r="173">
      <c r="A173" s="35"/>
      <c r="B173" s="35"/>
      <c r="D173" s="36"/>
      <c r="K173" s="26"/>
      <c r="P173" s="33"/>
    </row>
    <row r="174">
      <c r="A174" s="35"/>
      <c r="B174" s="35"/>
      <c r="D174" s="36"/>
      <c r="K174" s="26"/>
      <c r="P174" s="33"/>
    </row>
    <row r="175">
      <c r="A175" s="35"/>
      <c r="B175" s="35"/>
      <c r="D175" s="36"/>
      <c r="K175" s="26"/>
      <c r="P175" s="33"/>
    </row>
    <row r="176">
      <c r="A176" s="35"/>
      <c r="B176" s="35"/>
      <c r="D176" s="36"/>
      <c r="K176" s="26"/>
      <c r="P176" s="33"/>
    </row>
    <row r="177">
      <c r="A177" s="35"/>
      <c r="B177" s="35"/>
      <c r="D177" s="36"/>
      <c r="K177" s="26"/>
      <c r="P177" s="33"/>
    </row>
    <row r="178">
      <c r="A178" s="35"/>
      <c r="B178" s="35"/>
      <c r="D178" s="36"/>
      <c r="K178" s="26"/>
      <c r="P178" s="33"/>
    </row>
    <row r="179">
      <c r="A179" s="35"/>
      <c r="B179" s="35"/>
      <c r="D179" s="36"/>
      <c r="K179" s="26"/>
      <c r="P179" s="33"/>
    </row>
    <row r="180">
      <c r="A180" s="35"/>
      <c r="B180" s="35"/>
      <c r="D180" s="36"/>
      <c r="K180" s="26"/>
      <c r="P180" s="33"/>
    </row>
    <row r="181">
      <c r="A181" s="35"/>
      <c r="B181" s="35"/>
      <c r="D181" s="36"/>
      <c r="K181" s="26"/>
      <c r="P181" s="33"/>
    </row>
    <row r="182">
      <c r="A182" s="35"/>
      <c r="B182" s="35"/>
      <c r="D182" s="36"/>
      <c r="K182" s="26"/>
      <c r="P182" s="33"/>
    </row>
    <row r="183">
      <c r="A183" s="35"/>
      <c r="B183" s="35"/>
      <c r="D183" s="36"/>
      <c r="K183" s="26"/>
      <c r="P183" s="33"/>
    </row>
    <row r="184">
      <c r="A184" s="35"/>
      <c r="B184" s="35"/>
      <c r="D184" s="36"/>
      <c r="K184" s="26"/>
      <c r="P184" s="33"/>
    </row>
    <row r="185">
      <c r="A185" s="35"/>
      <c r="B185" s="35"/>
      <c r="D185" s="36"/>
      <c r="K185" s="26"/>
      <c r="P185" s="33"/>
    </row>
    <row r="186">
      <c r="A186" s="35"/>
      <c r="B186" s="35"/>
      <c r="D186" s="36"/>
      <c r="K186" s="26"/>
      <c r="P186" s="33"/>
    </row>
    <row r="187">
      <c r="A187" s="35"/>
      <c r="B187" s="35"/>
      <c r="D187" s="36"/>
      <c r="K187" s="26"/>
      <c r="P187" s="33"/>
    </row>
    <row r="188">
      <c r="A188" s="35"/>
      <c r="B188" s="35"/>
      <c r="D188" s="36"/>
      <c r="K188" s="26"/>
      <c r="P188" s="33"/>
    </row>
    <row r="189">
      <c r="A189" s="35"/>
      <c r="B189" s="35"/>
      <c r="D189" s="36"/>
      <c r="K189" s="26"/>
      <c r="P189" s="33"/>
    </row>
    <row r="190">
      <c r="A190" s="35"/>
      <c r="B190" s="35"/>
      <c r="D190" s="36"/>
      <c r="K190" s="26"/>
      <c r="P190" s="33"/>
    </row>
    <row r="191">
      <c r="A191" s="35"/>
      <c r="B191" s="35"/>
      <c r="D191" s="36"/>
      <c r="K191" s="26"/>
      <c r="P191" s="33"/>
    </row>
    <row r="192">
      <c r="A192" s="35"/>
      <c r="B192" s="35"/>
      <c r="D192" s="36"/>
      <c r="K192" s="26"/>
      <c r="P192" s="33"/>
    </row>
    <row r="193">
      <c r="A193" s="35"/>
      <c r="B193" s="35"/>
      <c r="D193" s="36"/>
      <c r="K193" s="26"/>
      <c r="P193" s="33"/>
    </row>
    <row r="194">
      <c r="A194" s="35"/>
      <c r="B194" s="35"/>
      <c r="D194" s="36"/>
      <c r="K194" s="26"/>
      <c r="P194" s="33"/>
    </row>
    <row r="195">
      <c r="A195" s="35"/>
      <c r="B195" s="35"/>
      <c r="D195" s="36"/>
      <c r="K195" s="26"/>
      <c r="P195" s="33"/>
    </row>
    <row r="196">
      <c r="A196" s="35"/>
      <c r="B196" s="35"/>
      <c r="D196" s="36"/>
      <c r="K196" s="26"/>
      <c r="P196" s="33"/>
    </row>
    <row r="197">
      <c r="A197" s="35"/>
      <c r="B197" s="35"/>
      <c r="D197" s="36"/>
      <c r="K197" s="26"/>
      <c r="P197" s="33"/>
    </row>
    <row r="198">
      <c r="A198" s="35"/>
      <c r="B198" s="35"/>
      <c r="D198" s="36"/>
      <c r="K198" s="26"/>
      <c r="P198" s="33"/>
    </row>
    <row r="199">
      <c r="A199" s="35"/>
      <c r="B199" s="35"/>
      <c r="D199" s="36"/>
      <c r="K199" s="26"/>
      <c r="P199" s="33"/>
    </row>
    <row r="200">
      <c r="A200" s="35"/>
      <c r="B200" s="35"/>
      <c r="D200" s="36"/>
      <c r="K200" s="26"/>
      <c r="P200" s="33"/>
    </row>
    <row r="201">
      <c r="A201" s="35"/>
      <c r="B201" s="35"/>
      <c r="D201" s="36"/>
      <c r="K201" s="26"/>
      <c r="P201" s="33"/>
    </row>
    <row r="202">
      <c r="A202" s="35"/>
      <c r="B202" s="35"/>
      <c r="D202" s="36"/>
      <c r="K202" s="26"/>
      <c r="P202" s="33"/>
    </row>
    <row r="203">
      <c r="A203" s="35"/>
      <c r="B203" s="35"/>
      <c r="D203" s="36"/>
      <c r="K203" s="26"/>
      <c r="P203" s="33"/>
    </row>
    <row r="204">
      <c r="A204" s="35"/>
      <c r="B204" s="35"/>
      <c r="D204" s="36"/>
      <c r="K204" s="26"/>
      <c r="P204" s="33"/>
    </row>
    <row r="205">
      <c r="A205" s="35"/>
      <c r="B205" s="35"/>
      <c r="D205" s="36"/>
      <c r="K205" s="26"/>
      <c r="P205" s="33"/>
    </row>
    <row r="206">
      <c r="A206" s="35"/>
      <c r="B206" s="35"/>
      <c r="D206" s="36"/>
      <c r="K206" s="26"/>
      <c r="P206" s="33"/>
    </row>
    <row r="207">
      <c r="A207" s="35"/>
      <c r="B207" s="35"/>
      <c r="D207" s="36"/>
      <c r="K207" s="26"/>
      <c r="P207" s="33"/>
    </row>
    <row r="208">
      <c r="A208" s="35"/>
      <c r="B208" s="35"/>
      <c r="D208" s="36"/>
      <c r="K208" s="26"/>
      <c r="P208" s="33"/>
    </row>
    <row r="209">
      <c r="A209" s="35"/>
      <c r="B209" s="35"/>
      <c r="D209" s="36"/>
      <c r="K209" s="26"/>
      <c r="P209" s="33"/>
    </row>
    <row r="210">
      <c r="A210" s="35"/>
      <c r="B210" s="35"/>
      <c r="D210" s="36"/>
      <c r="K210" s="26"/>
      <c r="P210" s="33"/>
    </row>
    <row r="211">
      <c r="A211" s="35"/>
      <c r="B211" s="35"/>
      <c r="D211" s="36"/>
      <c r="K211" s="26"/>
      <c r="P211" s="33"/>
    </row>
    <row r="212">
      <c r="A212" s="35"/>
      <c r="B212" s="35"/>
      <c r="D212" s="36"/>
      <c r="K212" s="26"/>
      <c r="P212" s="33"/>
    </row>
    <row r="213">
      <c r="A213" s="35"/>
      <c r="B213" s="35"/>
      <c r="D213" s="36"/>
      <c r="K213" s="26"/>
      <c r="P213" s="33"/>
    </row>
    <row r="214">
      <c r="A214" s="35"/>
      <c r="B214" s="35"/>
      <c r="D214" s="36"/>
      <c r="K214" s="26"/>
      <c r="P214" s="33"/>
    </row>
    <row r="215">
      <c r="A215" s="35"/>
      <c r="B215" s="35"/>
      <c r="D215" s="36"/>
      <c r="K215" s="26"/>
      <c r="P215" s="33"/>
    </row>
    <row r="216">
      <c r="A216" s="35"/>
      <c r="B216" s="35"/>
      <c r="D216" s="36"/>
      <c r="K216" s="26"/>
      <c r="P216" s="33"/>
    </row>
    <row r="217">
      <c r="A217" s="35"/>
      <c r="B217" s="35"/>
      <c r="D217" s="36"/>
      <c r="K217" s="26"/>
      <c r="P217" s="33"/>
    </row>
    <row r="218">
      <c r="A218" s="35"/>
      <c r="B218" s="35"/>
      <c r="D218" s="36"/>
      <c r="K218" s="26"/>
      <c r="P218" s="33"/>
    </row>
    <row r="219">
      <c r="A219" s="35"/>
      <c r="B219" s="35"/>
      <c r="D219" s="36"/>
      <c r="K219" s="26"/>
      <c r="P219" s="33"/>
    </row>
    <row r="220">
      <c r="A220" s="35"/>
      <c r="B220" s="35"/>
      <c r="D220" s="36"/>
      <c r="K220" s="26"/>
      <c r="P220" s="33"/>
    </row>
    <row r="221">
      <c r="A221" s="35"/>
      <c r="B221" s="35"/>
      <c r="D221" s="36"/>
      <c r="K221" s="26"/>
      <c r="P221" s="33"/>
    </row>
    <row r="222">
      <c r="A222" s="35"/>
      <c r="B222" s="35"/>
      <c r="D222" s="36"/>
      <c r="K222" s="26"/>
      <c r="P222" s="33"/>
    </row>
    <row r="223">
      <c r="A223" s="35"/>
      <c r="B223" s="35"/>
      <c r="D223" s="36"/>
      <c r="K223" s="26"/>
      <c r="P223" s="33"/>
    </row>
    <row r="224">
      <c r="A224" s="35"/>
      <c r="B224" s="35"/>
      <c r="D224" s="36"/>
      <c r="K224" s="26"/>
      <c r="P224" s="33"/>
    </row>
    <row r="225">
      <c r="A225" s="35"/>
      <c r="B225" s="35"/>
      <c r="D225" s="36"/>
      <c r="K225" s="26"/>
      <c r="P225" s="33"/>
    </row>
    <row r="226">
      <c r="A226" s="35"/>
      <c r="B226" s="35"/>
      <c r="D226" s="36"/>
      <c r="K226" s="26"/>
      <c r="P226" s="33"/>
    </row>
    <row r="227">
      <c r="A227" s="35"/>
      <c r="B227" s="35"/>
      <c r="D227" s="36"/>
      <c r="K227" s="26"/>
      <c r="P227" s="33"/>
    </row>
    <row r="228">
      <c r="A228" s="35"/>
      <c r="B228" s="35"/>
      <c r="D228" s="36"/>
      <c r="K228" s="26"/>
      <c r="P228" s="33"/>
    </row>
    <row r="229">
      <c r="A229" s="35"/>
      <c r="B229" s="35"/>
      <c r="D229" s="36"/>
      <c r="K229" s="26"/>
      <c r="P229" s="33"/>
    </row>
    <row r="230">
      <c r="A230" s="35"/>
      <c r="B230" s="35"/>
      <c r="D230" s="36"/>
      <c r="K230" s="26"/>
      <c r="P230" s="33"/>
    </row>
    <row r="231">
      <c r="A231" s="35"/>
      <c r="B231" s="35"/>
      <c r="D231" s="36"/>
      <c r="K231" s="26"/>
      <c r="P231" s="33"/>
    </row>
    <row r="232">
      <c r="A232" s="35"/>
      <c r="B232" s="35"/>
      <c r="D232" s="36"/>
      <c r="K232" s="26"/>
      <c r="P232" s="33"/>
    </row>
    <row r="233">
      <c r="A233" s="35"/>
      <c r="B233" s="35"/>
      <c r="D233" s="36"/>
      <c r="K233" s="26"/>
      <c r="P233" s="33"/>
    </row>
    <row r="234">
      <c r="A234" s="35"/>
      <c r="B234" s="35"/>
      <c r="D234" s="36"/>
      <c r="K234" s="26"/>
      <c r="P234" s="33"/>
    </row>
    <row r="235">
      <c r="A235" s="35"/>
      <c r="B235" s="35"/>
      <c r="D235" s="36"/>
      <c r="K235" s="26"/>
      <c r="P235" s="33"/>
    </row>
    <row r="236">
      <c r="A236" s="35"/>
      <c r="B236" s="35"/>
      <c r="D236" s="36"/>
      <c r="K236" s="26"/>
      <c r="P236" s="33"/>
    </row>
    <row r="237">
      <c r="A237" s="35"/>
      <c r="B237" s="35"/>
      <c r="D237" s="36"/>
      <c r="K237" s="26"/>
      <c r="P237" s="33"/>
    </row>
    <row r="238">
      <c r="A238" s="35"/>
      <c r="B238" s="35"/>
      <c r="D238" s="36"/>
      <c r="K238" s="26"/>
      <c r="P238" s="33"/>
    </row>
    <row r="239">
      <c r="A239" s="35"/>
      <c r="B239" s="35"/>
      <c r="D239" s="36"/>
      <c r="K239" s="26"/>
      <c r="P239" s="33"/>
    </row>
    <row r="240">
      <c r="A240" s="35"/>
      <c r="B240" s="35"/>
      <c r="D240" s="36"/>
      <c r="K240" s="26"/>
      <c r="P240" s="33"/>
    </row>
    <row r="241">
      <c r="A241" s="35"/>
      <c r="B241" s="35"/>
      <c r="D241" s="36"/>
      <c r="K241" s="26"/>
      <c r="P241" s="33"/>
    </row>
    <row r="242">
      <c r="A242" s="35"/>
      <c r="B242" s="35"/>
      <c r="D242" s="36"/>
      <c r="K242" s="26"/>
      <c r="P242" s="33"/>
    </row>
    <row r="243">
      <c r="A243" s="35"/>
      <c r="B243" s="35"/>
      <c r="D243" s="36"/>
      <c r="K243" s="26"/>
      <c r="P243" s="33"/>
    </row>
    <row r="244">
      <c r="A244" s="35"/>
      <c r="B244" s="35"/>
      <c r="D244" s="36"/>
      <c r="K244" s="26"/>
      <c r="P244" s="33"/>
    </row>
    <row r="245">
      <c r="A245" s="35"/>
      <c r="B245" s="35"/>
      <c r="D245" s="36"/>
      <c r="K245" s="26"/>
      <c r="P245" s="33"/>
    </row>
    <row r="246">
      <c r="A246" s="35"/>
      <c r="B246" s="35"/>
      <c r="D246" s="36"/>
      <c r="K246" s="26"/>
      <c r="P246" s="33"/>
    </row>
    <row r="247">
      <c r="A247" s="35"/>
      <c r="B247" s="35"/>
      <c r="D247" s="36"/>
      <c r="K247" s="26"/>
      <c r="P247" s="33"/>
    </row>
    <row r="248">
      <c r="A248" s="35"/>
      <c r="B248" s="35"/>
      <c r="D248" s="36"/>
      <c r="K248" s="26"/>
      <c r="P248" s="33"/>
    </row>
    <row r="249">
      <c r="A249" s="35"/>
      <c r="B249" s="35"/>
      <c r="D249" s="36"/>
      <c r="K249" s="26"/>
      <c r="P249" s="33"/>
    </row>
    <row r="250">
      <c r="A250" s="35"/>
      <c r="B250" s="35"/>
      <c r="D250" s="36"/>
      <c r="K250" s="26"/>
      <c r="P250" s="33"/>
    </row>
    <row r="251">
      <c r="A251" s="35"/>
      <c r="B251" s="35"/>
      <c r="D251" s="36"/>
      <c r="K251" s="26"/>
      <c r="P251" s="33"/>
    </row>
    <row r="252">
      <c r="A252" s="35"/>
      <c r="B252" s="35"/>
      <c r="D252" s="36"/>
      <c r="K252" s="26"/>
      <c r="P252" s="33"/>
    </row>
    <row r="253">
      <c r="A253" s="35"/>
      <c r="B253" s="35"/>
      <c r="D253" s="36"/>
      <c r="K253" s="26"/>
      <c r="P253" s="33"/>
    </row>
    <row r="254">
      <c r="A254" s="35"/>
      <c r="B254" s="35"/>
      <c r="D254" s="36"/>
      <c r="K254" s="26"/>
      <c r="P254" s="33"/>
    </row>
    <row r="255">
      <c r="A255" s="35"/>
      <c r="B255" s="35"/>
      <c r="D255" s="36"/>
      <c r="K255" s="26"/>
      <c r="P255" s="33"/>
    </row>
    <row r="256">
      <c r="A256" s="35"/>
      <c r="B256" s="35"/>
      <c r="D256" s="36"/>
      <c r="K256" s="26"/>
      <c r="P256" s="33"/>
    </row>
    <row r="257">
      <c r="A257" s="35"/>
      <c r="B257" s="35"/>
      <c r="D257" s="36"/>
      <c r="K257" s="26"/>
      <c r="P257" s="33"/>
    </row>
    <row r="258">
      <c r="A258" s="35"/>
      <c r="B258" s="35"/>
      <c r="D258" s="36"/>
      <c r="K258" s="26"/>
      <c r="P258" s="33"/>
    </row>
    <row r="259">
      <c r="A259" s="35"/>
      <c r="B259" s="35"/>
      <c r="D259" s="36"/>
      <c r="K259" s="26"/>
      <c r="P259" s="33"/>
    </row>
    <row r="260">
      <c r="A260" s="35"/>
      <c r="B260" s="35"/>
      <c r="D260" s="36"/>
      <c r="K260" s="26"/>
      <c r="P260" s="33"/>
    </row>
    <row r="261">
      <c r="A261" s="35"/>
      <c r="B261" s="35"/>
      <c r="D261" s="36"/>
      <c r="K261" s="26"/>
      <c r="P261" s="33"/>
    </row>
    <row r="262">
      <c r="A262" s="35"/>
      <c r="B262" s="35"/>
      <c r="D262" s="36"/>
      <c r="K262" s="26"/>
      <c r="P262" s="33"/>
    </row>
    <row r="263">
      <c r="A263" s="35"/>
      <c r="B263" s="35"/>
      <c r="D263" s="36"/>
      <c r="K263" s="26"/>
      <c r="P263" s="33"/>
    </row>
    <row r="264">
      <c r="A264" s="35"/>
      <c r="B264" s="35"/>
      <c r="D264" s="36"/>
      <c r="K264" s="26"/>
      <c r="P264" s="33"/>
    </row>
    <row r="265">
      <c r="A265" s="35"/>
      <c r="B265" s="35"/>
      <c r="D265" s="36"/>
      <c r="K265" s="26"/>
      <c r="P265" s="33"/>
    </row>
    <row r="266">
      <c r="A266" s="35"/>
      <c r="B266" s="35"/>
      <c r="D266" s="36"/>
      <c r="K266" s="26"/>
      <c r="P266" s="33"/>
    </row>
    <row r="267">
      <c r="A267" s="35"/>
      <c r="B267" s="35"/>
      <c r="D267" s="36"/>
      <c r="K267" s="26"/>
      <c r="P267" s="33"/>
    </row>
    <row r="268">
      <c r="A268" s="35"/>
      <c r="B268" s="35"/>
      <c r="D268" s="36"/>
      <c r="K268" s="26"/>
      <c r="P268" s="33"/>
    </row>
    <row r="269">
      <c r="A269" s="35"/>
      <c r="B269" s="35"/>
      <c r="D269" s="36"/>
      <c r="K269" s="26"/>
      <c r="P269" s="33"/>
    </row>
    <row r="270">
      <c r="A270" s="35"/>
      <c r="B270" s="35"/>
      <c r="D270" s="36"/>
      <c r="K270" s="26"/>
      <c r="P270" s="33"/>
    </row>
    <row r="271">
      <c r="A271" s="35"/>
      <c r="B271" s="35"/>
      <c r="D271" s="36"/>
      <c r="K271" s="26"/>
      <c r="P271" s="33"/>
    </row>
    <row r="272">
      <c r="A272" s="35"/>
      <c r="B272" s="35"/>
      <c r="D272" s="36"/>
      <c r="K272" s="26"/>
      <c r="P272" s="33"/>
    </row>
    <row r="273">
      <c r="A273" s="35"/>
      <c r="B273" s="35"/>
      <c r="D273" s="36"/>
      <c r="K273" s="26"/>
      <c r="P273" s="33"/>
    </row>
    <row r="274">
      <c r="A274" s="35"/>
      <c r="B274" s="35"/>
      <c r="D274" s="36"/>
      <c r="K274" s="26"/>
      <c r="P274" s="33"/>
    </row>
    <row r="275">
      <c r="A275" s="35"/>
      <c r="B275" s="35"/>
      <c r="D275" s="36"/>
      <c r="K275" s="26"/>
      <c r="P275" s="33"/>
    </row>
    <row r="276">
      <c r="A276" s="35"/>
      <c r="B276" s="35"/>
      <c r="D276" s="36"/>
      <c r="K276" s="26"/>
      <c r="P276" s="33"/>
    </row>
    <row r="277">
      <c r="A277" s="35"/>
      <c r="B277" s="35"/>
      <c r="D277" s="36"/>
      <c r="K277" s="26"/>
      <c r="P277" s="33"/>
    </row>
    <row r="278">
      <c r="A278" s="35"/>
      <c r="B278" s="35"/>
      <c r="D278" s="36"/>
      <c r="K278" s="26"/>
      <c r="P278" s="33"/>
    </row>
    <row r="279">
      <c r="A279" s="35"/>
      <c r="B279" s="35"/>
      <c r="D279" s="36"/>
      <c r="K279" s="26"/>
      <c r="P279" s="33"/>
    </row>
    <row r="280">
      <c r="A280" s="35"/>
      <c r="B280" s="35"/>
      <c r="D280" s="36"/>
      <c r="K280" s="26"/>
      <c r="P280" s="33"/>
    </row>
    <row r="281">
      <c r="A281" s="35"/>
      <c r="B281" s="35"/>
      <c r="D281" s="36"/>
      <c r="K281" s="26"/>
      <c r="P281" s="33"/>
    </row>
    <row r="282">
      <c r="A282" s="35"/>
      <c r="B282" s="35"/>
      <c r="D282" s="36"/>
      <c r="K282" s="26"/>
      <c r="P282" s="33"/>
    </row>
    <row r="283">
      <c r="A283" s="35"/>
      <c r="B283" s="35"/>
      <c r="D283" s="36"/>
      <c r="K283" s="26"/>
      <c r="P283" s="33"/>
    </row>
    <row r="284">
      <c r="A284" s="35"/>
      <c r="B284" s="35"/>
      <c r="D284" s="36"/>
      <c r="K284" s="26"/>
      <c r="P284" s="33"/>
    </row>
    <row r="285">
      <c r="A285" s="35"/>
      <c r="B285" s="35"/>
      <c r="D285" s="36"/>
      <c r="K285" s="26"/>
      <c r="P285" s="33"/>
    </row>
    <row r="286">
      <c r="A286" s="35"/>
      <c r="B286" s="35"/>
      <c r="D286" s="36"/>
      <c r="K286" s="26"/>
      <c r="P286" s="33"/>
    </row>
    <row r="287">
      <c r="A287" s="35"/>
      <c r="B287" s="35"/>
      <c r="D287" s="36"/>
      <c r="K287" s="26"/>
      <c r="P287" s="33"/>
    </row>
    <row r="288">
      <c r="A288" s="35"/>
      <c r="B288" s="35"/>
      <c r="D288" s="36"/>
      <c r="K288" s="26"/>
      <c r="P288" s="33"/>
    </row>
    <row r="289">
      <c r="A289" s="35"/>
      <c r="B289" s="35"/>
      <c r="D289" s="36"/>
      <c r="K289" s="26"/>
      <c r="P289" s="33"/>
    </row>
    <row r="290">
      <c r="A290" s="35"/>
      <c r="B290" s="35"/>
      <c r="D290" s="36"/>
      <c r="K290" s="26"/>
      <c r="P290" s="33"/>
    </row>
    <row r="291">
      <c r="A291" s="35"/>
      <c r="B291" s="35"/>
      <c r="D291" s="36"/>
      <c r="K291" s="26"/>
      <c r="P291" s="33"/>
    </row>
    <row r="292">
      <c r="A292" s="35"/>
      <c r="B292" s="35"/>
      <c r="D292" s="36"/>
      <c r="K292" s="26"/>
      <c r="P292" s="33"/>
    </row>
    <row r="293">
      <c r="A293" s="35"/>
      <c r="B293" s="35"/>
      <c r="D293" s="36"/>
      <c r="K293" s="26"/>
      <c r="P293" s="33"/>
    </row>
    <row r="294">
      <c r="A294" s="35"/>
      <c r="B294" s="35"/>
      <c r="D294" s="36"/>
      <c r="K294" s="26"/>
      <c r="P294" s="33"/>
    </row>
    <row r="295">
      <c r="A295" s="35"/>
      <c r="B295" s="35"/>
      <c r="D295" s="36"/>
      <c r="K295" s="26"/>
      <c r="P295" s="33"/>
    </row>
    <row r="296">
      <c r="A296" s="35"/>
      <c r="B296" s="35"/>
      <c r="D296" s="36"/>
      <c r="K296" s="26"/>
      <c r="P296" s="33"/>
    </row>
    <row r="297">
      <c r="A297" s="35"/>
      <c r="B297" s="35"/>
      <c r="D297" s="36"/>
      <c r="K297" s="26"/>
      <c r="P297" s="33"/>
    </row>
    <row r="298">
      <c r="A298" s="35"/>
      <c r="B298" s="35"/>
      <c r="D298" s="36"/>
      <c r="K298" s="26"/>
      <c r="P298" s="33"/>
    </row>
    <row r="299">
      <c r="A299" s="35"/>
      <c r="B299" s="35"/>
      <c r="D299" s="36"/>
      <c r="K299" s="26"/>
      <c r="P299" s="33"/>
    </row>
    <row r="300">
      <c r="A300" s="35"/>
      <c r="B300" s="35"/>
      <c r="D300" s="36"/>
      <c r="K300" s="26"/>
      <c r="P300" s="33"/>
    </row>
    <row r="301">
      <c r="A301" s="35"/>
      <c r="B301" s="35"/>
      <c r="D301" s="36"/>
      <c r="K301" s="26"/>
      <c r="P301" s="33"/>
    </row>
    <row r="302">
      <c r="A302" s="35"/>
      <c r="B302" s="35"/>
      <c r="D302" s="36"/>
      <c r="K302" s="26"/>
      <c r="P302" s="33"/>
    </row>
    <row r="303">
      <c r="A303" s="35"/>
      <c r="B303" s="35"/>
      <c r="D303" s="36"/>
      <c r="K303" s="26"/>
      <c r="P303" s="33"/>
    </row>
    <row r="304">
      <c r="A304" s="35"/>
      <c r="B304" s="35"/>
      <c r="D304" s="36"/>
      <c r="K304" s="26"/>
      <c r="P304" s="33"/>
    </row>
    <row r="305">
      <c r="A305" s="35"/>
      <c r="B305" s="35"/>
      <c r="D305" s="36"/>
      <c r="K305" s="26"/>
      <c r="P305" s="33"/>
    </row>
    <row r="306">
      <c r="A306" s="35"/>
      <c r="B306" s="35"/>
      <c r="D306" s="36"/>
      <c r="K306" s="26"/>
      <c r="P306" s="33"/>
    </row>
    <row r="307">
      <c r="A307" s="35"/>
      <c r="B307" s="35"/>
      <c r="D307" s="36"/>
      <c r="K307" s="26"/>
      <c r="P307" s="33"/>
    </row>
    <row r="308">
      <c r="A308" s="35"/>
      <c r="B308" s="35"/>
      <c r="D308" s="36"/>
      <c r="K308" s="26"/>
      <c r="P308" s="33"/>
    </row>
    <row r="309">
      <c r="A309" s="35"/>
      <c r="B309" s="35"/>
      <c r="D309" s="36"/>
      <c r="K309" s="26"/>
      <c r="P309" s="33"/>
    </row>
    <row r="310">
      <c r="A310" s="35"/>
      <c r="B310" s="35"/>
      <c r="D310" s="36"/>
      <c r="K310" s="26"/>
      <c r="P310" s="33"/>
    </row>
    <row r="311">
      <c r="A311" s="35"/>
      <c r="B311" s="35"/>
      <c r="D311" s="36"/>
      <c r="K311" s="26"/>
      <c r="P311" s="33"/>
    </row>
    <row r="312">
      <c r="A312" s="35"/>
      <c r="B312" s="35"/>
      <c r="D312" s="36"/>
      <c r="K312" s="26"/>
      <c r="P312" s="33"/>
    </row>
    <row r="313">
      <c r="A313" s="35"/>
      <c r="B313" s="35"/>
      <c r="D313" s="36"/>
      <c r="K313" s="26"/>
      <c r="P313" s="33"/>
    </row>
    <row r="314">
      <c r="A314" s="35"/>
      <c r="B314" s="35"/>
      <c r="D314" s="36"/>
      <c r="K314" s="26"/>
      <c r="P314" s="33"/>
    </row>
    <row r="315">
      <c r="A315" s="35"/>
      <c r="B315" s="35"/>
      <c r="D315" s="36"/>
      <c r="K315" s="26"/>
      <c r="P315" s="33"/>
    </row>
    <row r="316">
      <c r="A316" s="35"/>
      <c r="B316" s="35"/>
      <c r="D316" s="36"/>
      <c r="K316" s="26"/>
      <c r="P316" s="33"/>
    </row>
    <row r="317">
      <c r="A317" s="35"/>
      <c r="B317" s="35"/>
      <c r="D317" s="36"/>
      <c r="K317" s="26"/>
      <c r="P317" s="33"/>
    </row>
    <row r="318">
      <c r="A318" s="35"/>
      <c r="B318" s="35"/>
      <c r="D318" s="36"/>
      <c r="K318" s="26"/>
      <c r="P318" s="33"/>
    </row>
    <row r="319">
      <c r="A319" s="35"/>
      <c r="B319" s="35"/>
      <c r="D319" s="36"/>
      <c r="K319" s="26"/>
      <c r="P319" s="33"/>
    </row>
    <row r="320">
      <c r="A320" s="35"/>
      <c r="B320" s="35"/>
      <c r="D320" s="36"/>
      <c r="K320" s="26"/>
      <c r="P320" s="33"/>
    </row>
    <row r="321">
      <c r="A321" s="35"/>
      <c r="B321" s="35"/>
      <c r="D321" s="36"/>
      <c r="K321" s="26"/>
      <c r="P321" s="33"/>
    </row>
    <row r="322">
      <c r="A322" s="35"/>
      <c r="B322" s="35"/>
      <c r="D322" s="36"/>
      <c r="K322" s="26"/>
      <c r="P322" s="33"/>
    </row>
    <row r="323">
      <c r="A323" s="35"/>
      <c r="B323" s="35"/>
      <c r="D323" s="36"/>
      <c r="K323" s="26"/>
      <c r="P323" s="33"/>
    </row>
    <row r="324">
      <c r="A324" s="35"/>
      <c r="B324" s="35"/>
      <c r="D324" s="36"/>
      <c r="K324" s="26"/>
      <c r="P324" s="33"/>
    </row>
    <row r="325">
      <c r="A325" s="35"/>
      <c r="B325" s="35"/>
      <c r="D325" s="36"/>
      <c r="K325" s="26"/>
      <c r="P325" s="33"/>
    </row>
    <row r="326">
      <c r="A326" s="35"/>
      <c r="B326" s="35"/>
      <c r="D326" s="36"/>
      <c r="K326" s="26"/>
      <c r="P326" s="33"/>
    </row>
    <row r="327">
      <c r="A327" s="35"/>
      <c r="B327" s="35"/>
      <c r="D327" s="36"/>
      <c r="K327" s="26"/>
      <c r="P327" s="33"/>
    </row>
    <row r="328">
      <c r="A328" s="35"/>
      <c r="B328" s="35"/>
      <c r="D328" s="36"/>
      <c r="K328" s="26"/>
      <c r="P328" s="33"/>
    </row>
    <row r="329">
      <c r="A329" s="35"/>
      <c r="B329" s="35"/>
      <c r="D329" s="36"/>
      <c r="K329" s="26"/>
      <c r="P329" s="33"/>
    </row>
    <row r="330">
      <c r="A330" s="35"/>
      <c r="B330" s="35"/>
      <c r="D330" s="36"/>
      <c r="K330" s="26"/>
      <c r="P330" s="33"/>
    </row>
    <row r="331">
      <c r="A331" s="35"/>
      <c r="B331" s="35"/>
      <c r="D331" s="36"/>
      <c r="K331" s="26"/>
      <c r="P331" s="33"/>
    </row>
    <row r="332">
      <c r="A332" s="35"/>
      <c r="B332" s="35"/>
      <c r="D332" s="36"/>
      <c r="K332" s="26"/>
      <c r="P332" s="33"/>
    </row>
    <row r="333">
      <c r="A333" s="35"/>
      <c r="B333" s="35"/>
      <c r="D333" s="36"/>
      <c r="K333" s="26"/>
      <c r="P333" s="33"/>
    </row>
    <row r="334">
      <c r="A334" s="35"/>
      <c r="B334" s="35"/>
      <c r="D334" s="36"/>
      <c r="K334" s="26"/>
      <c r="P334" s="33"/>
    </row>
    <row r="335">
      <c r="A335" s="35"/>
      <c r="B335" s="35"/>
      <c r="D335" s="36"/>
      <c r="K335" s="26"/>
      <c r="P335" s="33"/>
    </row>
    <row r="336">
      <c r="A336" s="35"/>
      <c r="B336" s="35"/>
      <c r="D336" s="36"/>
      <c r="K336" s="26"/>
      <c r="P336" s="33"/>
    </row>
    <row r="337">
      <c r="A337" s="35"/>
      <c r="B337" s="35"/>
      <c r="D337" s="36"/>
      <c r="K337" s="26"/>
      <c r="P337" s="33"/>
    </row>
    <row r="338">
      <c r="A338" s="35"/>
      <c r="B338" s="35"/>
      <c r="D338" s="36"/>
      <c r="K338" s="26"/>
      <c r="P338" s="33"/>
    </row>
    <row r="339">
      <c r="A339" s="35"/>
      <c r="B339" s="35"/>
      <c r="D339" s="36"/>
      <c r="K339" s="26"/>
      <c r="P339" s="33"/>
    </row>
    <row r="340">
      <c r="A340" s="35"/>
      <c r="B340" s="35"/>
      <c r="D340" s="36"/>
      <c r="K340" s="26"/>
      <c r="P340" s="33"/>
    </row>
    <row r="341">
      <c r="A341" s="35"/>
      <c r="B341" s="35"/>
      <c r="D341" s="36"/>
      <c r="K341" s="26"/>
      <c r="P341" s="33"/>
    </row>
    <row r="342">
      <c r="A342" s="35"/>
      <c r="B342" s="35"/>
      <c r="D342" s="36"/>
      <c r="K342" s="26"/>
      <c r="P342" s="33"/>
    </row>
    <row r="343">
      <c r="A343" s="35"/>
      <c r="B343" s="35"/>
      <c r="D343" s="36"/>
      <c r="K343" s="26"/>
      <c r="P343" s="33"/>
    </row>
    <row r="344">
      <c r="A344" s="35"/>
      <c r="B344" s="35"/>
      <c r="D344" s="36"/>
      <c r="K344" s="26"/>
      <c r="P344" s="33"/>
    </row>
    <row r="345">
      <c r="A345" s="35"/>
      <c r="B345" s="35"/>
      <c r="D345" s="36"/>
      <c r="K345" s="26"/>
      <c r="P345" s="33"/>
    </row>
    <row r="346">
      <c r="A346" s="35"/>
      <c r="B346" s="35"/>
      <c r="D346" s="36"/>
      <c r="K346" s="26"/>
      <c r="P346" s="33"/>
    </row>
    <row r="347">
      <c r="A347" s="35"/>
      <c r="B347" s="35"/>
      <c r="D347" s="36"/>
      <c r="K347" s="26"/>
      <c r="P347" s="33"/>
    </row>
    <row r="348">
      <c r="A348" s="35"/>
      <c r="B348" s="35"/>
      <c r="D348" s="36"/>
      <c r="K348" s="26"/>
      <c r="P348" s="33"/>
    </row>
    <row r="349">
      <c r="A349" s="35"/>
      <c r="B349" s="35"/>
      <c r="D349" s="36"/>
      <c r="K349" s="26"/>
      <c r="P349" s="33"/>
    </row>
    <row r="350">
      <c r="A350" s="35"/>
      <c r="B350" s="35"/>
      <c r="D350" s="36"/>
      <c r="K350" s="26"/>
      <c r="P350" s="33"/>
    </row>
    <row r="351">
      <c r="A351" s="35"/>
      <c r="B351" s="35"/>
      <c r="D351" s="36"/>
      <c r="K351" s="26"/>
      <c r="P351" s="33"/>
    </row>
    <row r="352">
      <c r="A352" s="35"/>
      <c r="B352" s="35"/>
      <c r="D352" s="36"/>
      <c r="K352" s="26"/>
      <c r="P352" s="33"/>
    </row>
    <row r="353">
      <c r="A353" s="35"/>
      <c r="B353" s="35"/>
      <c r="D353" s="36"/>
      <c r="K353" s="26"/>
      <c r="P353" s="33"/>
    </row>
    <row r="354">
      <c r="A354" s="35"/>
      <c r="B354" s="35"/>
      <c r="D354" s="36"/>
      <c r="K354" s="26"/>
      <c r="P354" s="33"/>
    </row>
    <row r="355">
      <c r="A355" s="35"/>
      <c r="B355" s="35"/>
      <c r="D355" s="36"/>
      <c r="K355" s="26"/>
      <c r="P355" s="33"/>
    </row>
    <row r="356">
      <c r="A356" s="35"/>
      <c r="B356" s="35"/>
      <c r="D356" s="36"/>
      <c r="K356" s="26"/>
      <c r="P356" s="33"/>
    </row>
    <row r="357">
      <c r="A357" s="35"/>
      <c r="B357" s="35"/>
      <c r="D357" s="36"/>
      <c r="K357" s="26"/>
      <c r="P357" s="33"/>
    </row>
    <row r="358">
      <c r="A358" s="35"/>
      <c r="B358" s="35"/>
      <c r="D358" s="36"/>
      <c r="K358" s="26"/>
      <c r="P358" s="33"/>
    </row>
    <row r="359">
      <c r="A359" s="35"/>
      <c r="B359" s="35"/>
      <c r="D359" s="36"/>
      <c r="K359" s="26"/>
      <c r="P359" s="33"/>
    </row>
    <row r="360">
      <c r="A360" s="35"/>
      <c r="B360" s="35"/>
      <c r="D360" s="36"/>
      <c r="K360" s="26"/>
      <c r="P360" s="33"/>
    </row>
    <row r="361">
      <c r="A361" s="35"/>
      <c r="B361" s="35"/>
      <c r="D361" s="36"/>
      <c r="K361" s="26"/>
      <c r="P361" s="33"/>
    </row>
    <row r="362">
      <c r="A362" s="35"/>
      <c r="B362" s="35"/>
      <c r="D362" s="36"/>
      <c r="K362" s="26"/>
      <c r="P362" s="33"/>
    </row>
    <row r="363">
      <c r="A363" s="35"/>
      <c r="B363" s="35"/>
      <c r="D363" s="36"/>
      <c r="K363" s="26"/>
      <c r="P363" s="33"/>
    </row>
    <row r="364">
      <c r="A364" s="35"/>
      <c r="B364" s="35"/>
      <c r="D364" s="36"/>
      <c r="K364" s="26"/>
      <c r="P364" s="33"/>
    </row>
    <row r="365">
      <c r="A365" s="35"/>
      <c r="B365" s="35"/>
      <c r="D365" s="36"/>
      <c r="K365" s="26"/>
      <c r="P365" s="33"/>
    </row>
    <row r="366">
      <c r="A366" s="35"/>
      <c r="B366" s="35"/>
      <c r="D366" s="36"/>
      <c r="K366" s="26"/>
      <c r="P366" s="33"/>
    </row>
    <row r="367">
      <c r="A367" s="35"/>
      <c r="B367" s="35"/>
      <c r="D367" s="36"/>
      <c r="K367" s="26"/>
      <c r="P367" s="33"/>
    </row>
    <row r="368">
      <c r="A368" s="35"/>
      <c r="B368" s="35"/>
      <c r="D368" s="36"/>
      <c r="K368" s="26"/>
      <c r="P368" s="33"/>
    </row>
    <row r="369">
      <c r="A369" s="35"/>
      <c r="B369" s="35"/>
      <c r="D369" s="36"/>
      <c r="K369" s="26"/>
      <c r="P369" s="33"/>
    </row>
    <row r="370">
      <c r="A370" s="35"/>
      <c r="B370" s="35"/>
      <c r="D370" s="36"/>
      <c r="K370" s="26"/>
      <c r="P370" s="33"/>
    </row>
    <row r="371">
      <c r="A371" s="35"/>
      <c r="B371" s="35"/>
      <c r="D371" s="36"/>
      <c r="K371" s="26"/>
      <c r="P371" s="33"/>
    </row>
    <row r="372">
      <c r="A372" s="35"/>
      <c r="B372" s="35"/>
      <c r="D372" s="36"/>
      <c r="K372" s="26"/>
      <c r="P372" s="33"/>
    </row>
    <row r="373">
      <c r="A373" s="35"/>
      <c r="B373" s="35"/>
      <c r="D373" s="36"/>
      <c r="K373" s="26"/>
      <c r="P373" s="33"/>
    </row>
    <row r="374">
      <c r="A374" s="35"/>
      <c r="B374" s="35"/>
      <c r="D374" s="36"/>
      <c r="K374" s="26"/>
      <c r="P374" s="33"/>
    </row>
    <row r="375">
      <c r="A375" s="35"/>
      <c r="B375" s="35"/>
      <c r="D375" s="36"/>
      <c r="K375" s="26"/>
      <c r="P375" s="33"/>
    </row>
    <row r="376">
      <c r="A376" s="35"/>
      <c r="B376" s="35"/>
      <c r="D376" s="36"/>
      <c r="K376" s="26"/>
      <c r="P376" s="33"/>
    </row>
    <row r="377">
      <c r="A377" s="35"/>
      <c r="B377" s="35"/>
      <c r="D377" s="36"/>
      <c r="K377" s="26"/>
      <c r="P377" s="33"/>
    </row>
    <row r="378">
      <c r="A378" s="35"/>
      <c r="B378" s="35"/>
      <c r="D378" s="36"/>
      <c r="K378" s="26"/>
      <c r="P378" s="33"/>
    </row>
    <row r="379">
      <c r="A379" s="35"/>
      <c r="B379" s="35"/>
      <c r="D379" s="36"/>
      <c r="K379" s="26"/>
      <c r="P379" s="33"/>
    </row>
    <row r="380">
      <c r="A380" s="35"/>
      <c r="B380" s="35"/>
      <c r="D380" s="36"/>
      <c r="K380" s="26"/>
      <c r="P380" s="33"/>
    </row>
    <row r="381">
      <c r="A381" s="35"/>
      <c r="B381" s="35"/>
      <c r="D381" s="36"/>
      <c r="K381" s="26"/>
      <c r="P381" s="33"/>
    </row>
    <row r="382">
      <c r="A382" s="35"/>
      <c r="B382" s="35"/>
      <c r="D382" s="36"/>
      <c r="K382" s="26"/>
      <c r="P382" s="33"/>
    </row>
    <row r="383">
      <c r="A383" s="35"/>
      <c r="B383" s="35"/>
      <c r="D383" s="36"/>
      <c r="K383" s="26"/>
      <c r="P383" s="33"/>
    </row>
    <row r="384">
      <c r="A384" s="35"/>
      <c r="B384" s="35"/>
      <c r="D384" s="36"/>
      <c r="K384" s="26"/>
      <c r="P384" s="33"/>
    </row>
    <row r="385">
      <c r="A385" s="35"/>
      <c r="B385" s="35"/>
      <c r="D385" s="36"/>
      <c r="K385" s="26"/>
      <c r="P385" s="33"/>
    </row>
    <row r="386">
      <c r="A386" s="35"/>
      <c r="B386" s="35"/>
      <c r="D386" s="36"/>
      <c r="K386" s="26"/>
      <c r="P386" s="33"/>
    </row>
    <row r="387">
      <c r="A387" s="35"/>
      <c r="B387" s="35"/>
      <c r="D387" s="36"/>
      <c r="K387" s="26"/>
      <c r="P387" s="33"/>
    </row>
    <row r="388">
      <c r="A388" s="35"/>
      <c r="B388" s="35"/>
      <c r="D388" s="36"/>
      <c r="K388" s="26"/>
      <c r="P388" s="33"/>
    </row>
    <row r="389">
      <c r="A389" s="35"/>
      <c r="B389" s="35"/>
      <c r="D389" s="36"/>
      <c r="K389" s="26"/>
      <c r="P389" s="33"/>
    </row>
    <row r="390">
      <c r="A390" s="35"/>
      <c r="B390" s="35"/>
      <c r="D390" s="36"/>
      <c r="K390" s="26"/>
      <c r="P390" s="33"/>
    </row>
    <row r="391">
      <c r="A391" s="35"/>
      <c r="B391" s="35"/>
      <c r="D391" s="36"/>
      <c r="K391" s="26"/>
      <c r="P391" s="33"/>
    </row>
    <row r="392">
      <c r="A392" s="35"/>
      <c r="B392" s="35"/>
      <c r="D392" s="36"/>
      <c r="K392" s="26"/>
      <c r="P392" s="33"/>
    </row>
    <row r="393">
      <c r="A393" s="35"/>
      <c r="B393" s="35"/>
      <c r="D393" s="36"/>
      <c r="K393" s="26"/>
      <c r="P393" s="33"/>
    </row>
    <row r="394">
      <c r="A394" s="35"/>
      <c r="B394" s="35"/>
      <c r="D394" s="36"/>
      <c r="K394" s="26"/>
      <c r="P394" s="33"/>
    </row>
    <row r="395">
      <c r="A395" s="35"/>
      <c r="B395" s="35"/>
      <c r="D395" s="36"/>
      <c r="K395" s="26"/>
      <c r="P395" s="33"/>
    </row>
    <row r="396">
      <c r="A396" s="35"/>
      <c r="B396" s="35"/>
      <c r="D396" s="36"/>
      <c r="K396" s="26"/>
      <c r="P396" s="33"/>
    </row>
    <row r="397">
      <c r="A397" s="35"/>
      <c r="B397" s="35"/>
      <c r="D397" s="36"/>
      <c r="K397" s="26"/>
      <c r="P397" s="33"/>
    </row>
    <row r="398">
      <c r="A398" s="35"/>
      <c r="B398" s="35"/>
      <c r="D398" s="36"/>
      <c r="K398" s="26"/>
      <c r="P398" s="33"/>
    </row>
    <row r="399">
      <c r="A399" s="35"/>
      <c r="B399" s="35"/>
      <c r="D399" s="36"/>
      <c r="K399" s="26"/>
      <c r="P399" s="33"/>
    </row>
    <row r="400">
      <c r="A400" s="35"/>
      <c r="B400" s="35"/>
      <c r="D400" s="36"/>
      <c r="K400" s="26"/>
      <c r="P400" s="33"/>
    </row>
    <row r="401">
      <c r="A401" s="35"/>
      <c r="B401" s="35"/>
      <c r="D401" s="36"/>
      <c r="K401" s="26"/>
      <c r="P401" s="33"/>
    </row>
    <row r="402">
      <c r="A402" s="35"/>
      <c r="B402" s="35"/>
      <c r="D402" s="36"/>
      <c r="K402" s="26"/>
      <c r="P402" s="33"/>
    </row>
    <row r="403">
      <c r="A403" s="35"/>
      <c r="B403" s="35"/>
      <c r="D403" s="36"/>
      <c r="K403" s="26"/>
      <c r="P403" s="33"/>
    </row>
    <row r="404">
      <c r="A404" s="35"/>
      <c r="B404" s="35"/>
      <c r="D404" s="36"/>
      <c r="K404" s="26"/>
      <c r="P404" s="33"/>
    </row>
    <row r="405">
      <c r="A405" s="35"/>
      <c r="B405" s="35"/>
      <c r="D405" s="36"/>
      <c r="K405" s="26"/>
      <c r="P405" s="33"/>
    </row>
    <row r="406">
      <c r="A406" s="35"/>
      <c r="B406" s="35"/>
      <c r="D406" s="36"/>
      <c r="K406" s="26"/>
      <c r="P406" s="33"/>
    </row>
    <row r="407">
      <c r="A407" s="35"/>
      <c r="B407" s="35"/>
      <c r="D407" s="36"/>
      <c r="K407" s="26"/>
      <c r="P407" s="33"/>
    </row>
    <row r="408">
      <c r="A408" s="35"/>
      <c r="B408" s="35"/>
      <c r="D408" s="36"/>
      <c r="K408" s="26"/>
      <c r="P408" s="33"/>
    </row>
    <row r="409">
      <c r="A409" s="35"/>
      <c r="B409" s="35"/>
      <c r="D409" s="36"/>
      <c r="K409" s="26"/>
      <c r="P409" s="33"/>
    </row>
    <row r="410">
      <c r="A410" s="35"/>
      <c r="B410" s="35"/>
      <c r="D410" s="36"/>
      <c r="K410" s="26"/>
      <c r="P410" s="33"/>
    </row>
    <row r="411">
      <c r="A411" s="35"/>
      <c r="B411" s="35"/>
      <c r="D411" s="36"/>
      <c r="K411" s="26"/>
      <c r="P411" s="33"/>
    </row>
    <row r="412">
      <c r="A412" s="35"/>
      <c r="B412" s="35"/>
      <c r="D412" s="36"/>
      <c r="K412" s="26"/>
      <c r="P412" s="33"/>
    </row>
    <row r="413">
      <c r="A413" s="35"/>
      <c r="B413" s="35"/>
      <c r="D413" s="36"/>
      <c r="K413" s="26"/>
      <c r="P413" s="33"/>
    </row>
    <row r="414">
      <c r="A414" s="35"/>
      <c r="B414" s="35"/>
      <c r="D414" s="36"/>
      <c r="K414" s="26"/>
      <c r="P414" s="33"/>
    </row>
    <row r="415">
      <c r="A415" s="35"/>
      <c r="B415" s="35"/>
      <c r="D415" s="36"/>
      <c r="K415" s="26"/>
      <c r="P415" s="33"/>
    </row>
    <row r="416">
      <c r="A416" s="35"/>
      <c r="B416" s="35"/>
      <c r="D416" s="36"/>
      <c r="K416" s="26"/>
      <c r="P416" s="33"/>
    </row>
    <row r="417">
      <c r="A417" s="35"/>
      <c r="B417" s="35"/>
      <c r="D417" s="36"/>
      <c r="K417" s="26"/>
      <c r="P417" s="33"/>
    </row>
    <row r="418">
      <c r="A418" s="35"/>
      <c r="B418" s="35"/>
      <c r="D418" s="36"/>
      <c r="K418" s="26"/>
      <c r="P418" s="33"/>
    </row>
    <row r="419">
      <c r="A419" s="35"/>
      <c r="B419" s="35"/>
      <c r="D419" s="36"/>
      <c r="K419" s="26"/>
      <c r="P419" s="33"/>
    </row>
    <row r="420">
      <c r="A420" s="35"/>
      <c r="B420" s="35"/>
      <c r="D420" s="36"/>
      <c r="K420" s="26"/>
      <c r="P420" s="33"/>
    </row>
    <row r="421">
      <c r="A421" s="35"/>
      <c r="B421" s="35"/>
      <c r="D421" s="36"/>
      <c r="K421" s="26"/>
      <c r="P421" s="33"/>
    </row>
    <row r="422">
      <c r="A422" s="35"/>
      <c r="B422" s="35"/>
      <c r="D422" s="36"/>
      <c r="K422" s="26"/>
      <c r="P422" s="33"/>
    </row>
    <row r="423">
      <c r="A423" s="35"/>
      <c r="B423" s="35"/>
      <c r="D423" s="36"/>
      <c r="K423" s="26"/>
      <c r="P423" s="33"/>
    </row>
    <row r="424">
      <c r="A424" s="35"/>
      <c r="B424" s="35"/>
      <c r="D424" s="36"/>
      <c r="K424" s="26"/>
      <c r="P424" s="33"/>
    </row>
    <row r="425">
      <c r="A425" s="35"/>
      <c r="B425" s="35"/>
      <c r="D425" s="36"/>
      <c r="K425" s="26"/>
      <c r="P425" s="33"/>
    </row>
    <row r="426">
      <c r="A426" s="35"/>
      <c r="B426" s="35"/>
      <c r="D426" s="36"/>
      <c r="K426" s="26"/>
      <c r="P426" s="33"/>
    </row>
    <row r="427">
      <c r="A427" s="35"/>
      <c r="B427" s="35"/>
      <c r="D427" s="36"/>
      <c r="K427" s="26"/>
      <c r="P427" s="33"/>
    </row>
    <row r="428">
      <c r="A428" s="35"/>
      <c r="B428" s="35"/>
      <c r="D428" s="36"/>
      <c r="K428" s="26"/>
      <c r="P428" s="33"/>
    </row>
    <row r="429">
      <c r="A429" s="35"/>
      <c r="B429" s="35"/>
      <c r="D429" s="36"/>
      <c r="K429" s="26"/>
      <c r="P429" s="33"/>
    </row>
    <row r="430">
      <c r="A430" s="35"/>
      <c r="B430" s="35"/>
      <c r="D430" s="36"/>
      <c r="K430" s="26"/>
      <c r="P430" s="33"/>
    </row>
    <row r="431">
      <c r="A431" s="35"/>
      <c r="B431" s="35"/>
      <c r="D431" s="36"/>
      <c r="K431" s="26"/>
      <c r="P431" s="33"/>
    </row>
    <row r="432">
      <c r="A432" s="35"/>
      <c r="B432" s="35"/>
      <c r="D432" s="36"/>
      <c r="K432" s="26"/>
      <c r="P432" s="33"/>
    </row>
    <row r="433">
      <c r="A433" s="35"/>
      <c r="B433" s="35"/>
      <c r="D433" s="36"/>
      <c r="K433" s="26"/>
      <c r="P433" s="33"/>
    </row>
    <row r="434">
      <c r="A434" s="35"/>
      <c r="B434" s="35"/>
      <c r="D434" s="36"/>
      <c r="K434" s="26"/>
      <c r="P434" s="33"/>
    </row>
    <row r="435">
      <c r="A435" s="35"/>
      <c r="B435" s="35"/>
      <c r="D435" s="36"/>
      <c r="K435" s="26"/>
      <c r="P435" s="33"/>
    </row>
    <row r="436">
      <c r="A436" s="35"/>
      <c r="B436" s="35"/>
      <c r="D436" s="36"/>
      <c r="K436" s="26"/>
      <c r="P436" s="33"/>
    </row>
    <row r="437">
      <c r="A437" s="35"/>
      <c r="B437" s="35"/>
      <c r="D437" s="36"/>
      <c r="K437" s="26"/>
      <c r="P437" s="33"/>
    </row>
    <row r="438">
      <c r="A438" s="35"/>
      <c r="B438" s="35"/>
      <c r="D438" s="36"/>
      <c r="K438" s="26"/>
      <c r="P438" s="33"/>
    </row>
    <row r="439">
      <c r="A439" s="35"/>
      <c r="B439" s="35"/>
      <c r="D439" s="36"/>
      <c r="K439" s="26"/>
      <c r="P439" s="33"/>
    </row>
    <row r="440">
      <c r="A440" s="35"/>
      <c r="B440" s="35"/>
      <c r="D440" s="36"/>
      <c r="K440" s="26"/>
      <c r="P440" s="33"/>
    </row>
    <row r="441">
      <c r="A441" s="35"/>
      <c r="B441" s="35"/>
      <c r="D441" s="36"/>
      <c r="K441" s="26"/>
      <c r="P441" s="33"/>
    </row>
    <row r="442">
      <c r="A442" s="35"/>
      <c r="B442" s="35"/>
      <c r="D442" s="36"/>
      <c r="K442" s="26"/>
      <c r="P442" s="33"/>
    </row>
    <row r="443">
      <c r="A443" s="35"/>
      <c r="B443" s="35"/>
      <c r="D443" s="36"/>
      <c r="K443" s="26"/>
      <c r="P443" s="33"/>
    </row>
    <row r="444">
      <c r="A444" s="35"/>
      <c r="B444" s="35"/>
      <c r="D444" s="36"/>
      <c r="K444" s="26"/>
      <c r="P444" s="33"/>
    </row>
    <row r="445">
      <c r="A445" s="35"/>
      <c r="B445" s="35"/>
      <c r="D445" s="36"/>
      <c r="K445" s="26"/>
      <c r="P445" s="33"/>
    </row>
    <row r="446">
      <c r="A446" s="35"/>
      <c r="B446" s="35"/>
      <c r="D446" s="36"/>
      <c r="K446" s="26"/>
      <c r="P446" s="33"/>
    </row>
    <row r="447">
      <c r="A447" s="35"/>
      <c r="B447" s="35"/>
      <c r="D447" s="36"/>
      <c r="K447" s="26"/>
      <c r="P447" s="33"/>
    </row>
    <row r="448">
      <c r="A448" s="35"/>
      <c r="B448" s="35"/>
      <c r="D448" s="36"/>
      <c r="K448" s="26"/>
      <c r="P448" s="33"/>
    </row>
    <row r="449">
      <c r="A449" s="35"/>
      <c r="B449" s="35"/>
      <c r="D449" s="36"/>
      <c r="K449" s="26"/>
      <c r="P449" s="33"/>
    </row>
    <row r="450">
      <c r="A450" s="35"/>
      <c r="B450" s="35"/>
      <c r="D450" s="36"/>
      <c r="K450" s="26"/>
      <c r="P450" s="33"/>
    </row>
    <row r="451">
      <c r="A451" s="35"/>
      <c r="B451" s="35"/>
      <c r="D451" s="36"/>
      <c r="K451" s="26"/>
      <c r="P451" s="33"/>
    </row>
    <row r="452">
      <c r="A452" s="35"/>
      <c r="B452" s="35"/>
      <c r="D452" s="36"/>
      <c r="K452" s="26"/>
      <c r="P452" s="33"/>
    </row>
    <row r="453">
      <c r="A453" s="35"/>
      <c r="B453" s="35"/>
      <c r="D453" s="36"/>
      <c r="K453" s="26"/>
      <c r="P453" s="33"/>
    </row>
    <row r="454">
      <c r="A454" s="35"/>
      <c r="B454" s="35"/>
      <c r="D454" s="36"/>
      <c r="K454" s="26"/>
      <c r="P454" s="33"/>
    </row>
    <row r="455">
      <c r="A455" s="35"/>
      <c r="B455" s="35"/>
      <c r="D455" s="36"/>
      <c r="K455" s="26"/>
      <c r="P455" s="33"/>
    </row>
    <row r="456">
      <c r="A456" s="35"/>
      <c r="B456" s="35"/>
      <c r="D456" s="36"/>
      <c r="K456" s="26"/>
      <c r="P456" s="33"/>
    </row>
    <row r="457">
      <c r="A457" s="35"/>
      <c r="B457" s="35"/>
      <c r="D457" s="36"/>
      <c r="K457" s="26"/>
      <c r="P457" s="33"/>
    </row>
    <row r="458">
      <c r="A458" s="35"/>
      <c r="B458" s="35"/>
      <c r="D458" s="36"/>
      <c r="K458" s="26"/>
      <c r="P458" s="33"/>
    </row>
    <row r="459">
      <c r="A459" s="35"/>
      <c r="B459" s="35"/>
      <c r="D459" s="36"/>
      <c r="K459" s="26"/>
      <c r="P459" s="33"/>
    </row>
    <row r="460">
      <c r="A460" s="35"/>
      <c r="B460" s="35"/>
      <c r="D460" s="36"/>
      <c r="K460" s="26"/>
      <c r="P460" s="33"/>
    </row>
    <row r="461">
      <c r="A461" s="35"/>
      <c r="B461" s="35"/>
      <c r="D461" s="36"/>
      <c r="K461" s="26"/>
      <c r="P461" s="33"/>
    </row>
    <row r="462">
      <c r="A462" s="35"/>
      <c r="B462" s="35"/>
      <c r="D462" s="36"/>
      <c r="K462" s="26"/>
      <c r="P462" s="33"/>
    </row>
    <row r="463">
      <c r="A463" s="35"/>
      <c r="B463" s="35"/>
      <c r="D463" s="36"/>
      <c r="K463" s="26"/>
      <c r="P463" s="33"/>
    </row>
    <row r="464">
      <c r="A464" s="35"/>
      <c r="B464" s="35"/>
      <c r="D464" s="36"/>
      <c r="K464" s="26"/>
      <c r="P464" s="33"/>
    </row>
    <row r="465">
      <c r="A465" s="35"/>
      <c r="B465" s="35"/>
      <c r="D465" s="36"/>
      <c r="K465" s="26"/>
      <c r="P465" s="33"/>
    </row>
    <row r="466">
      <c r="A466" s="35"/>
      <c r="B466" s="35"/>
      <c r="D466" s="36"/>
      <c r="K466" s="26"/>
      <c r="P466" s="33"/>
    </row>
    <row r="467">
      <c r="A467" s="35"/>
      <c r="B467" s="35"/>
      <c r="D467" s="36"/>
      <c r="K467" s="26"/>
      <c r="P467" s="33"/>
    </row>
    <row r="468">
      <c r="A468" s="35"/>
      <c r="B468" s="35"/>
      <c r="D468" s="36"/>
      <c r="K468" s="26"/>
      <c r="P468" s="33"/>
    </row>
    <row r="469">
      <c r="A469" s="35"/>
      <c r="B469" s="35"/>
      <c r="D469" s="36"/>
      <c r="K469" s="26"/>
      <c r="P469" s="33"/>
    </row>
    <row r="470">
      <c r="A470" s="35"/>
      <c r="B470" s="35"/>
      <c r="D470" s="36"/>
      <c r="K470" s="26"/>
      <c r="P470" s="33"/>
    </row>
    <row r="471">
      <c r="A471" s="35"/>
      <c r="B471" s="35"/>
      <c r="D471" s="36"/>
      <c r="K471" s="26"/>
      <c r="P471" s="33"/>
    </row>
    <row r="472">
      <c r="A472" s="35"/>
      <c r="B472" s="35"/>
      <c r="D472" s="36"/>
      <c r="K472" s="26"/>
      <c r="P472" s="33"/>
    </row>
    <row r="473">
      <c r="A473" s="35"/>
      <c r="B473" s="35"/>
      <c r="D473" s="36"/>
      <c r="K473" s="26"/>
      <c r="P473" s="33"/>
    </row>
    <row r="474">
      <c r="A474" s="35"/>
      <c r="B474" s="35"/>
      <c r="D474" s="36"/>
      <c r="K474" s="26"/>
      <c r="P474" s="33"/>
    </row>
    <row r="475">
      <c r="A475" s="35"/>
      <c r="B475" s="35"/>
      <c r="D475" s="36"/>
      <c r="K475" s="26"/>
      <c r="P475" s="33"/>
    </row>
    <row r="476">
      <c r="A476" s="35"/>
      <c r="B476" s="35"/>
      <c r="D476" s="36"/>
      <c r="K476" s="26"/>
      <c r="P476" s="33"/>
    </row>
    <row r="477">
      <c r="A477" s="35"/>
      <c r="B477" s="35"/>
      <c r="D477" s="36"/>
      <c r="K477" s="26"/>
      <c r="P477" s="33"/>
    </row>
    <row r="478">
      <c r="A478" s="35"/>
      <c r="B478" s="35"/>
      <c r="D478" s="36"/>
      <c r="K478" s="26"/>
      <c r="P478" s="33"/>
    </row>
    <row r="479">
      <c r="A479" s="35"/>
      <c r="B479" s="35"/>
      <c r="D479" s="36"/>
      <c r="K479" s="26"/>
      <c r="P479" s="33"/>
    </row>
    <row r="480">
      <c r="A480" s="35"/>
      <c r="B480" s="35"/>
      <c r="D480" s="36"/>
      <c r="K480" s="26"/>
      <c r="P480" s="33"/>
    </row>
    <row r="481">
      <c r="A481" s="35"/>
      <c r="B481" s="35"/>
      <c r="D481" s="36"/>
      <c r="K481" s="26"/>
      <c r="P481" s="33"/>
    </row>
    <row r="482">
      <c r="A482" s="35"/>
      <c r="B482" s="35"/>
      <c r="D482" s="36"/>
      <c r="K482" s="26"/>
      <c r="P482" s="33"/>
    </row>
    <row r="483">
      <c r="A483" s="35"/>
      <c r="B483" s="35"/>
      <c r="D483" s="36"/>
      <c r="K483" s="26"/>
      <c r="P483" s="33"/>
    </row>
    <row r="484">
      <c r="A484" s="35"/>
      <c r="B484" s="35"/>
      <c r="D484" s="36"/>
      <c r="K484" s="26"/>
      <c r="P484" s="33"/>
    </row>
    <row r="485">
      <c r="A485" s="35"/>
      <c r="B485" s="35"/>
      <c r="D485" s="36"/>
      <c r="K485" s="26"/>
      <c r="P485" s="33"/>
    </row>
    <row r="486">
      <c r="A486" s="35"/>
      <c r="B486" s="35"/>
      <c r="D486" s="36"/>
      <c r="K486" s="26"/>
      <c r="P486" s="33"/>
    </row>
    <row r="487">
      <c r="A487" s="35"/>
      <c r="B487" s="35"/>
      <c r="D487" s="36"/>
      <c r="K487" s="26"/>
      <c r="P487" s="33"/>
    </row>
    <row r="488">
      <c r="A488" s="35"/>
      <c r="B488" s="35"/>
      <c r="D488" s="36"/>
      <c r="K488" s="26"/>
      <c r="P488" s="33"/>
    </row>
    <row r="489">
      <c r="A489" s="35"/>
      <c r="B489" s="35"/>
      <c r="D489" s="36"/>
      <c r="K489" s="26"/>
      <c r="P489" s="33"/>
    </row>
    <row r="490">
      <c r="A490" s="35"/>
      <c r="B490" s="35"/>
      <c r="D490" s="36"/>
      <c r="K490" s="26"/>
      <c r="P490" s="33"/>
    </row>
    <row r="491">
      <c r="A491" s="35"/>
      <c r="B491" s="35"/>
      <c r="D491" s="36"/>
      <c r="K491" s="26"/>
      <c r="P491" s="33"/>
    </row>
    <row r="492">
      <c r="A492" s="35"/>
      <c r="B492" s="35"/>
      <c r="D492" s="36"/>
      <c r="K492" s="26"/>
      <c r="P492" s="33"/>
    </row>
    <row r="493">
      <c r="A493" s="35"/>
      <c r="B493" s="35"/>
      <c r="D493" s="36"/>
      <c r="K493" s="26"/>
      <c r="P493" s="33"/>
    </row>
    <row r="494">
      <c r="A494" s="35"/>
      <c r="B494" s="35"/>
      <c r="D494" s="36"/>
      <c r="K494" s="26"/>
      <c r="P494" s="33"/>
    </row>
    <row r="495">
      <c r="A495" s="35"/>
      <c r="B495" s="35"/>
      <c r="D495" s="36"/>
      <c r="K495" s="26"/>
      <c r="P495" s="33"/>
    </row>
    <row r="496">
      <c r="A496" s="35"/>
      <c r="B496" s="35"/>
      <c r="D496" s="36"/>
      <c r="K496" s="26"/>
      <c r="P496" s="33"/>
    </row>
    <row r="497">
      <c r="A497" s="35"/>
      <c r="B497" s="35"/>
      <c r="D497" s="36"/>
      <c r="K497" s="26"/>
      <c r="P497" s="33"/>
    </row>
    <row r="498">
      <c r="A498" s="35"/>
      <c r="B498" s="35"/>
      <c r="D498" s="36"/>
      <c r="K498" s="26"/>
      <c r="P498" s="33"/>
    </row>
    <row r="499">
      <c r="A499" s="35"/>
      <c r="B499" s="35"/>
      <c r="D499" s="36"/>
      <c r="K499" s="26"/>
      <c r="P499" s="33"/>
    </row>
    <row r="500">
      <c r="A500" s="35"/>
      <c r="B500" s="35"/>
      <c r="D500" s="36"/>
      <c r="K500" s="26"/>
      <c r="P500" s="33"/>
    </row>
    <row r="501">
      <c r="A501" s="35"/>
      <c r="B501" s="35"/>
      <c r="D501" s="36"/>
      <c r="K501" s="26"/>
      <c r="P501" s="33"/>
    </row>
    <row r="502">
      <c r="A502" s="35"/>
      <c r="B502" s="35"/>
      <c r="D502" s="36"/>
      <c r="K502" s="26"/>
      <c r="P502" s="33"/>
    </row>
    <row r="503">
      <c r="A503" s="35"/>
      <c r="B503" s="35"/>
      <c r="D503" s="36"/>
      <c r="K503" s="26"/>
      <c r="P503" s="33"/>
    </row>
    <row r="504">
      <c r="A504" s="35"/>
      <c r="B504" s="35"/>
      <c r="D504" s="36"/>
      <c r="K504" s="26"/>
      <c r="P504" s="33"/>
    </row>
    <row r="505">
      <c r="A505" s="35"/>
      <c r="B505" s="35"/>
      <c r="D505" s="36"/>
      <c r="K505" s="26"/>
      <c r="P505" s="33"/>
    </row>
    <row r="506">
      <c r="A506" s="35"/>
      <c r="B506" s="35"/>
      <c r="D506" s="36"/>
      <c r="K506" s="26"/>
      <c r="P506" s="33"/>
    </row>
    <row r="507">
      <c r="A507" s="35"/>
      <c r="B507" s="35"/>
      <c r="D507" s="36"/>
      <c r="K507" s="26"/>
      <c r="P507" s="33"/>
    </row>
    <row r="508">
      <c r="A508" s="35"/>
      <c r="B508" s="35"/>
      <c r="D508" s="36"/>
      <c r="K508" s="26"/>
      <c r="P508" s="33"/>
    </row>
    <row r="509">
      <c r="A509" s="35"/>
      <c r="B509" s="35"/>
      <c r="D509" s="36"/>
      <c r="K509" s="26"/>
      <c r="P509" s="33"/>
    </row>
    <row r="510">
      <c r="A510" s="35"/>
      <c r="B510" s="35"/>
      <c r="D510" s="36"/>
      <c r="K510" s="26"/>
      <c r="P510" s="33"/>
    </row>
    <row r="511">
      <c r="A511" s="35"/>
      <c r="B511" s="35"/>
      <c r="D511" s="36"/>
      <c r="K511" s="26"/>
      <c r="P511" s="33"/>
    </row>
    <row r="512">
      <c r="A512" s="35"/>
      <c r="B512" s="35"/>
      <c r="D512" s="36"/>
      <c r="K512" s="26"/>
      <c r="P512" s="33"/>
    </row>
    <row r="513">
      <c r="A513" s="35"/>
      <c r="B513" s="35"/>
      <c r="D513" s="36"/>
      <c r="K513" s="26"/>
      <c r="P513" s="33"/>
    </row>
    <row r="514">
      <c r="A514" s="35"/>
      <c r="B514" s="35"/>
      <c r="D514" s="36"/>
      <c r="K514" s="26"/>
      <c r="P514" s="33"/>
    </row>
    <row r="515">
      <c r="A515" s="35"/>
      <c r="B515" s="35"/>
      <c r="D515" s="36"/>
      <c r="K515" s="26"/>
      <c r="P515" s="33"/>
    </row>
    <row r="516">
      <c r="A516" s="35"/>
      <c r="B516" s="35"/>
      <c r="D516" s="36"/>
      <c r="K516" s="26"/>
      <c r="P516" s="33"/>
    </row>
    <row r="517">
      <c r="A517" s="35"/>
      <c r="B517" s="35"/>
      <c r="D517" s="36"/>
      <c r="K517" s="26"/>
      <c r="P517" s="33"/>
    </row>
    <row r="518">
      <c r="A518" s="35"/>
      <c r="B518" s="35"/>
      <c r="D518" s="36"/>
      <c r="K518" s="26"/>
      <c r="P518" s="33"/>
    </row>
    <row r="519">
      <c r="A519" s="35"/>
      <c r="B519" s="35"/>
      <c r="D519" s="36"/>
      <c r="K519" s="26"/>
      <c r="P519" s="33"/>
    </row>
    <row r="520">
      <c r="A520" s="35"/>
      <c r="B520" s="35"/>
      <c r="D520" s="36"/>
      <c r="K520" s="26"/>
      <c r="P520" s="33"/>
    </row>
    <row r="521">
      <c r="A521" s="35"/>
      <c r="B521" s="35"/>
      <c r="D521" s="36"/>
      <c r="K521" s="26"/>
      <c r="P521" s="33"/>
    </row>
    <row r="522">
      <c r="A522" s="35"/>
      <c r="B522" s="35"/>
      <c r="D522" s="36"/>
      <c r="K522" s="26"/>
      <c r="P522" s="33"/>
    </row>
    <row r="523">
      <c r="A523" s="35"/>
      <c r="B523" s="35"/>
      <c r="D523" s="36"/>
      <c r="K523" s="26"/>
      <c r="P523" s="33"/>
    </row>
    <row r="524">
      <c r="A524" s="35"/>
      <c r="B524" s="35"/>
      <c r="D524" s="36"/>
      <c r="K524" s="26"/>
      <c r="P524" s="33"/>
    </row>
    <row r="525">
      <c r="A525" s="35"/>
      <c r="B525" s="35"/>
      <c r="D525" s="36"/>
      <c r="K525" s="26"/>
      <c r="P525" s="33"/>
    </row>
    <row r="526">
      <c r="A526" s="35"/>
      <c r="B526" s="35"/>
      <c r="D526" s="36"/>
      <c r="K526" s="26"/>
      <c r="P526" s="33"/>
    </row>
    <row r="527">
      <c r="A527" s="35"/>
      <c r="B527" s="35"/>
      <c r="D527" s="36"/>
      <c r="K527" s="26"/>
      <c r="P527" s="33"/>
    </row>
    <row r="528">
      <c r="A528" s="35"/>
      <c r="B528" s="35"/>
      <c r="D528" s="36"/>
      <c r="K528" s="26"/>
      <c r="P528" s="33"/>
    </row>
    <row r="529">
      <c r="A529" s="35"/>
      <c r="B529" s="35"/>
      <c r="D529" s="36"/>
      <c r="K529" s="26"/>
      <c r="P529" s="33"/>
    </row>
    <row r="530">
      <c r="A530" s="35"/>
      <c r="B530" s="35"/>
      <c r="D530" s="36"/>
      <c r="K530" s="26"/>
      <c r="P530" s="33"/>
    </row>
    <row r="531">
      <c r="A531" s="35"/>
      <c r="B531" s="35"/>
      <c r="D531" s="36"/>
      <c r="K531" s="26"/>
      <c r="P531" s="33"/>
    </row>
    <row r="532">
      <c r="A532" s="35"/>
      <c r="B532" s="35"/>
      <c r="D532" s="36"/>
      <c r="K532" s="26"/>
      <c r="P532" s="33"/>
    </row>
    <row r="533">
      <c r="A533" s="35"/>
      <c r="B533" s="35"/>
      <c r="D533" s="36"/>
      <c r="K533" s="26"/>
      <c r="P533" s="33"/>
    </row>
    <row r="534">
      <c r="A534" s="35"/>
      <c r="B534" s="35"/>
      <c r="D534" s="36"/>
      <c r="K534" s="26"/>
      <c r="P534" s="33"/>
    </row>
    <row r="535">
      <c r="A535" s="35"/>
      <c r="B535" s="35"/>
      <c r="D535" s="36"/>
      <c r="K535" s="26"/>
      <c r="P535" s="33"/>
    </row>
    <row r="536">
      <c r="A536" s="35"/>
      <c r="B536" s="35"/>
      <c r="D536" s="36"/>
      <c r="K536" s="26"/>
      <c r="P536" s="33"/>
    </row>
    <row r="537">
      <c r="A537" s="35"/>
      <c r="B537" s="35"/>
      <c r="D537" s="36"/>
      <c r="K537" s="26"/>
      <c r="P537" s="33"/>
    </row>
    <row r="538">
      <c r="A538" s="35"/>
      <c r="B538" s="35"/>
      <c r="D538" s="36"/>
      <c r="K538" s="26"/>
      <c r="P538" s="33"/>
    </row>
    <row r="539">
      <c r="A539" s="35"/>
      <c r="B539" s="35"/>
      <c r="D539" s="36"/>
      <c r="K539" s="26"/>
      <c r="P539" s="33"/>
    </row>
    <row r="540">
      <c r="A540" s="35"/>
      <c r="B540" s="35"/>
      <c r="D540" s="36"/>
      <c r="K540" s="26"/>
      <c r="P540" s="33"/>
    </row>
    <row r="541">
      <c r="A541" s="35"/>
      <c r="B541" s="35"/>
      <c r="D541" s="36"/>
      <c r="K541" s="26"/>
      <c r="P541" s="33"/>
    </row>
    <row r="542">
      <c r="A542" s="35"/>
      <c r="B542" s="35"/>
      <c r="D542" s="36"/>
      <c r="K542" s="26"/>
      <c r="P542" s="33"/>
    </row>
    <row r="543">
      <c r="A543" s="35"/>
      <c r="B543" s="35"/>
      <c r="D543" s="36"/>
      <c r="K543" s="26"/>
      <c r="P543" s="33"/>
    </row>
    <row r="544">
      <c r="A544" s="35"/>
      <c r="B544" s="35"/>
      <c r="D544" s="36"/>
      <c r="K544" s="26"/>
      <c r="P544" s="33"/>
    </row>
    <row r="545">
      <c r="A545" s="35"/>
      <c r="B545" s="35"/>
      <c r="D545" s="36"/>
      <c r="K545" s="26"/>
      <c r="P545" s="33"/>
    </row>
    <row r="546">
      <c r="A546" s="35"/>
      <c r="B546" s="35"/>
      <c r="D546" s="36"/>
      <c r="K546" s="26"/>
      <c r="P546" s="33"/>
    </row>
    <row r="547">
      <c r="A547" s="35"/>
      <c r="B547" s="35"/>
      <c r="D547" s="36"/>
      <c r="K547" s="26"/>
      <c r="P547" s="33"/>
    </row>
    <row r="548">
      <c r="A548" s="35"/>
      <c r="B548" s="35"/>
      <c r="D548" s="36"/>
      <c r="K548" s="26"/>
      <c r="P548" s="33"/>
    </row>
    <row r="549">
      <c r="A549" s="35"/>
      <c r="B549" s="35"/>
      <c r="D549" s="36"/>
      <c r="K549" s="26"/>
      <c r="P549" s="33"/>
    </row>
    <row r="550">
      <c r="A550" s="35"/>
      <c r="B550" s="35"/>
      <c r="D550" s="36"/>
      <c r="K550" s="26"/>
      <c r="P550" s="33"/>
    </row>
    <row r="551">
      <c r="A551" s="35"/>
      <c r="B551" s="35"/>
      <c r="D551" s="36"/>
      <c r="K551" s="26"/>
      <c r="P551" s="33"/>
    </row>
    <row r="552">
      <c r="A552" s="35"/>
      <c r="B552" s="35"/>
      <c r="D552" s="36"/>
      <c r="K552" s="26"/>
      <c r="P552" s="33"/>
    </row>
    <row r="553">
      <c r="A553" s="35"/>
      <c r="B553" s="35"/>
      <c r="D553" s="36"/>
      <c r="K553" s="26"/>
      <c r="P553" s="33"/>
    </row>
    <row r="554">
      <c r="A554" s="35"/>
      <c r="B554" s="35"/>
      <c r="D554" s="36"/>
      <c r="K554" s="26"/>
      <c r="P554" s="33"/>
    </row>
    <row r="555">
      <c r="A555" s="35"/>
      <c r="B555" s="35"/>
      <c r="D555" s="36"/>
      <c r="K555" s="26"/>
      <c r="P555" s="33"/>
    </row>
    <row r="556">
      <c r="A556" s="35"/>
      <c r="B556" s="35"/>
      <c r="D556" s="36"/>
      <c r="K556" s="26"/>
      <c r="P556" s="33"/>
    </row>
    <row r="557">
      <c r="A557" s="35"/>
      <c r="B557" s="35"/>
      <c r="D557" s="36"/>
      <c r="K557" s="26"/>
      <c r="P557" s="33"/>
    </row>
    <row r="558">
      <c r="A558" s="35"/>
      <c r="B558" s="35"/>
      <c r="D558" s="36"/>
      <c r="K558" s="26"/>
      <c r="P558" s="33"/>
    </row>
    <row r="559">
      <c r="A559" s="35"/>
      <c r="B559" s="35"/>
      <c r="D559" s="36"/>
      <c r="K559" s="26"/>
      <c r="P559" s="33"/>
    </row>
    <row r="560">
      <c r="A560" s="35"/>
      <c r="B560" s="35"/>
      <c r="D560" s="36"/>
      <c r="K560" s="26"/>
      <c r="P560" s="33"/>
    </row>
    <row r="561">
      <c r="A561" s="35"/>
      <c r="B561" s="35"/>
      <c r="D561" s="36"/>
      <c r="K561" s="26"/>
      <c r="P561" s="33"/>
    </row>
    <row r="562">
      <c r="A562" s="35"/>
      <c r="B562" s="35"/>
      <c r="D562" s="36"/>
      <c r="K562" s="26"/>
      <c r="P562" s="33"/>
    </row>
    <row r="563">
      <c r="A563" s="35"/>
      <c r="B563" s="35"/>
      <c r="D563" s="36"/>
      <c r="K563" s="26"/>
      <c r="P563" s="33"/>
    </row>
    <row r="564">
      <c r="A564" s="35"/>
      <c r="B564" s="35"/>
      <c r="D564" s="36"/>
      <c r="K564" s="26"/>
      <c r="P564" s="33"/>
    </row>
    <row r="565">
      <c r="A565" s="35"/>
      <c r="B565" s="35"/>
      <c r="D565" s="36"/>
      <c r="K565" s="26"/>
      <c r="P565" s="33"/>
    </row>
    <row r="566">
      <c r="A566" s="35"/>
      <c r="B566" s="35"/>
      <c r="D566" s="36"/>
      <c r="K566" s="26"/>
      <c r="P566" s="33"/>
    </row>
    <row r="567">
      <c r="A567" s="35"/>
      <c r="B567" s="35"/>
      <c r="D567" s="36"/>
      <c r="K567" s="26"/>
      <c r="P567" s="33"/>
    </row>
    <row r="568">
      <c r="A568" s="35"/>
      <c r="B568" s="35"/>
      <c r="D568" s="36"/>
      <c r="K568" s="26"/>
      <c r="P568" s="33"/>
    </row>
    <row r="569">
      <c r="A569" s="35"/>
      <c r="B569" s="35"/>
      <c r="D569" s="36"/>
      <c r="K569" s="26"/>
      <c r="P569" s="33"/>
    </row>
    <row r="570">
      <c r="A570" s="35"/>
      <c r="B570" s="35"/>
      <c r="D570" s="36"/>
      <c r="K570" s="26"/>
      <c r="P570" s="33"/>
    </row>
    <row r="571">
      <c r="A571" s="35"/>
      <c r="B571" s="35"/>
      <c r="D571" s="36"/>
      <c r="K571" s="26"/>
      <c r="P571" s="33"/>
    </row>
    <row r="572">
      <c r="A572" s="35"/>
      <c r="B572" s="35"/>
      <c r="D572" s="36"/>
      <c r="K572" s="26"/>
      <c r="P572" s="33"/>
    </row>
    <row r="573">
      <c r="A573" s="35"/>
      <c r="B573" s="35"/>
      <c r="D573" s="36"/>
      <c r="K573" s="26"/>
      <c r="P573" s="33"/>
    </row>
    <row r="574">
      <c r="A574" s="35"/>
      <c r="B574" s="35"/>
      <c r="D574" s="36"/>
      <c r="K574" s="26"/>
      <c r="P574" s="33"/>
    </row>
    <row r="575">
      <c r="A575" s="35"/>
      <c r="B575" s="35"/>
      <c r="D575" s="36"/>
      <c r="K575" s="26"/>
      <c r="P575" s="33"/>
    </row>
    <row r="576">
      <c r="A576" s="35"/>
      <c r="B576" s="35"/>
      <c r="D576" s="36"/>
      <c r="K576" s="26"/>
      <c r="P576" s="33"/>
    </row>
    <row r="577">
      <c r="A577" s="35"/>
      <c r="B577" s="35"/>
      <c r="D577" s="36"/>
      <c r="K577" s="26"/>
      <c r="P577" s="33"/>
    </row>
    <row r="578">
      <c r="A578" s="35"/>
      <c r="B578" s="35"/>
      <c r="D578" s="36"/>
      <c r="K578" s="26"/>
      <c r="P578" s="33"/>
    </row>
    <row r="579">
      <c r="A579" s="35"/>
      <c r="B579" s="35"/>
      <c r="D579" s="36"/>
      <c r="K579" s="26"/>
      <c r="P579" s="33"/>
    </row>
    <row r="580">
      <c r="A580" s="35"/>
      <c r="B580" s="35"/>
      <c r="D580" s="36"/>
      <c r="K580" s="26"/>
      <c r="P580" s="33"/>
    </row>
    <row r="581">
      <c r="A581" s="35"/>
      <c r="B581" s="35"/>
      <c r="D581" s="36"/>
      <c r="K581" s="26"/>
      <c r="P581" s="33"/>
    </row>
    <row r="582">
      <c r="A582" s="35"/>
      <c r="B582" s="35"/>
      <c r="D582" s="36"/>
      <c r="K582" s="26"/>
      <c r="P582" s="33"/>
    </row>
    <row r="583">
      <c r="A583" s="35"/>
      <c r="B583" s="35"/>
      <c r="D583" s="36"/>
      <c r="K583" s="26"/>
      <c r="P583" s="33"/>
    </row>
    <row r="584">
      <c r="A584" s="35"/>
      <c r="B584" s="35"/>
      <c r="D584" s="36"/>
      <c r="K584" s="26"/>
      <c r="P584" s="33"/>
    </row>
    <row r="585">
      <c r="A585" s="35"/>
      <c r="B585" s="35"/>
      <c r="D585" s="36"/>
      <c r="K585" s="26"/>
      <c r="P585" s="33"/>
    </row>
    <row r="586">
      <c r="A586" s="35"/>
      <c r="B586" s="35"/>
      <c r="D586" s="36"/>
      <c r="K586" s="26"/>
      <c r="P586" s="33"/>
    </row>
    <row r="587">
      <c r="A587" s="35"/>
      <c r="B587" s="35"/>
      <c r="D587" s="36"/>
      <c r="K587" s="26"/>
      <c r="P587" s="33"/>
    </row>
    <row r="588">
      <c r="A588" s="35"/>
      <c r="B588" s="35"/>
      <c r="D588" s="36"/>
      <c r="K588" s="26"/>
      <c r="P588" s="33"/>
    </row>
    <row r="589">
      <c r="A589" s="35"/>
      <c r="B589" s="35"/>
      <c r="D589" s="36"/>
      <c r="K589" s="26"/>
      <c r="P589" s="33"/>
    </row>
    <row r="590">
      <c r="A590" s="35"/>
      <c r="B590" s="35"/>
      <c r="D590" s="36"/>
      <c r="K590" s="26"/>
      <c r="P590" s="33"/>
    </row>
    <row r="591">
      <c r="A591" s="35"/>
      <c r="B591" s="35"/>
      <c r="D591" s="36"/>
      <c r="K591" s="26"/>
      <c r="P591" s="33"/>
    </row>
    <row r="592">
      <c r="A592" s="35"/>
      <c r="B592" s="35"/>
      <c r="D592" s="36"/>
      <c r="K592" s="26"/>
      <c r="P592" s="33"/>
    </row>
    <row r="593">
      <c r="A593" s="35"/>
      <c r="B593" s="35"/>
      <c r="D593" s="36"/>
      <c r="K593" s="26"/>
      <c r="P593" s="33"/>
    </row>
    <row r="594">
      <c r="A594" s="35"/>
      <c r="B594" s="35"/>
      <c r="D594" s="36"/>
      <c r="K594" s="26"/>
      <c r="P594" s="33"/>
    </row>
    <row r="595">
      <c r="A595" s="35"/>
      <c r="B595" s="35"/>
      <c r="D595" s="36"/>
      <c r="K595" s="26"/>
      <c r="P595" s="33"/>
    </row>
    <row r="596">
      <c r="A596" s="35"/>
      <c r="B596" s="35"/>
      <c r="D596" s="36"/>
      <c r="K596" s="26"/>
      <c r="P596" s="33"/>
    </row>
    <row r="597">
      <c r="A597" s="35"/>
      <c r="B597" s="35"/>
      <c r="D597" s="36"/>
      <c r="K597" s="26"/>
      <c r="P597" s="33"/>
    </row>
    <row r="598">
      <c r="A598" s="35"/>
      <c r="B598" s="35"/>
      <c r="D598" s="36"/>
      <c r="K598" s="26"/>
      <c r="P598" s="33"/>
    </row>
    <row r="599">
      <c r="A599" s="35"/>
      <c r="B599" s="35"/>
      <c r="D599" s="36"/>
      <c r="K599" s="26"/>
      <c r="P599" s="33"/>
    </row>
    <row r="600">
      <c r="A600" s="35"/>
      <c r="B600" s="35"/>
      <c r="D600" s="36"/>
      <c r="K600" s="26"/>
      <c r="P600" s="33"/>
    </row>
    <row r="601">
      <c r="A601" s="35"/>
      <c r="B601" s="35"/>
      <c r="D601" s="36"/>
      <c r="K601" s="26"/>
      <c r="P601" s="33"/>
    </row>
    <row r="602">
      <c r="A602" s="35"/>
      <c r="B602" s="35"/>
      <c r="D602" s="36"/>
      <c r="K602" s="26"/>
      <c r="P602" s="33"/>
    </row>
    <row r="603">
      <c r="A603" s="35"/>
      <c r="B603" s="35"/>
      <c r="D603" s="36"/>
      <c r="K603" s="26"/>
      <c r="P603" s="33"/>
    </row>
    <row r="604">
      <c r="A604" s="35"/>
      <c r="B604" s="35"/>
      <c r="D604" s="36"/>
      <c r="K604" s="26"/>
      <c r="P604" s="33"/>
    </row>
    <row r="605">
      <c r="A605" s="35"/>
      <c r="B605" s="35"/>
      <c r="D605" s="36"/>
      <c r="K605" s="26"/>
      <c r="P605" s="33"/>
    </row>
    <row r="606">
      <c r="A606" s="35"/>
      <c r="B606" s="35"/>
      <c r="D606" s="36"/>
      <c r="K606" s="26"/>
      <c r="P606" s="33"/>
    </row>
    <row r="607">
      <c r="A607" s="35"/>
      <c r="B607" s="35"/>
      <c r="D607" s="36"/>
      <c r="K607" s="26"/>
      <c r="P607" s="33"/>
    </row>
    <row r="608">
      <c r="A608" s="35"/>
      <c r="B608" s="35"/>
      <c r="D608" s="36"/>
      <c r="K608" s="26"/>
      <c r="P608" s="33"/>
    </row>
    <row r="609">
      <c r="A609" s="35"/>
      <c r="B609" s="35"/>
      <c r="D609" s="36"/>
      <c r="K609" s="26"/>
      <c r="P609" s="33"/>
    </row>
    <row r="610">
      <c r="A610" s="35"/>
      <c r="B610" s="35"/>
      <c r="D610" s="36"/>
      <c r="K610" s="26"/>
      <c r="P610" s="33"/>
    </row>
    <row r="611">
      <c r="A611" s="35"/>
      <c r="B611" s="35"/>
      <c r="D611" s="36"/>
      <c r="K611" s="26"/>
      <c r="P611" s="33"/>
    </row>
    <row r="612">
      <c r="A612" s="35"/>
      <c r="B612" s="35"/>
      <c r="D612" s="36"/>
      <c r="K612" s="26"/>
      <c r="P612" s="33"/>
    </row>
    <row r="613">
      <c r="A613" s="35"/>
      <c r="B613" s="35"/>
      <c r="D613" s="36"/>
      <c r="K613" s="26"/>
      <c r="P613" s="33"/>
    </row>
    <row r="614">
      <c r="A614" s="35"/>
      <c r="B614" s="35"/>
      <c r="D614" s="36"/>
      <c r="K614" s="26"/>
      <c r="P614" s="33"/>
    </row>
    <row r="615">
      <c r="A615" s="35"/>
      <c r="B615" s="35"/>
      <c r="D615" s="36"/>
      <c r="K615" s="26"/>
      <c r="P615" s="33"/>
    </row>
    <row r="616">
      <c r="A616" s="35"/>
      <c r="B616" s="35"/>
      <c r="D616" s="36"/>
      <c r="K616" s="26"/>
      <c r="P616" s="33"/>
    </row>
    <row r="617">
      <c r="A617" s="35"/>
      <c r="B617" s="35"/>
      <c r="D617" s="36"/>
      <c r="K617" s="26"/>
      <c r="P617" s="33"/>
    </row>
    <row r="618">
      <c r="A618" s="35"/>
      <c r="B618" s="35"/>
      <c r="D618" s="36"/>
      <c r="K618" s="26"/>
      <c r="P618" s="33"/>
    </row>
    <row r="619">
      <c r="A619" s="35"/>
      <c r="B619" s="35"/>
      <c r="D619" s="36"/>
      <c r="K619" s="26"/>
      <c r="P619" s="33"/>
    </row>
    <row r="620">
      <c r="A620" s="35"/>
      <c r="B620" s="35"/>
      <c r="D620" s="36"/>
      <c r="K620" s="26"/>
      <c r="P620" s="33"/>
    </row>
    <row r="621">
      <c r="A621" s="35"/>
      <c r="B621" s="35"/>
      <c r="D621" s="36"/>
      <c r="K621" s="26"/>
      <c r="P621" s="33"/>
    </row>
    <row r="622">
      <c r="A622" s="35"/>
      <c r="B622" s="35"/>
      <c r="D622" s="36"/>
      <c r="K622" s="26"/>
      <c r="P622" s="33"/>
    </row>
    <row r="623">
      <c r="A623" s="35"/>
      <c r="B623" s="35"/>
      <c r="D623" s="36"/>
      <c r="K623" s="26"/>
      <c r="P623" s="33"/>
    </row>
    <row r="624">
      <c r="A624" s="35"/>
      <c r="B624" s="35"/>
      <c r="D624" s="36"/>
      <c r="K624" s="26"/>
      <c r="P624" s="33"/>
    </row>
    <row r="625">
      <c r="A625" s="35"/>
      <c r="B625" s="35"/>
      <c r="D625" s="36"/>
      <c r="K625" s="26"/>
      <c r="P625" s="33"/>
    </row>
    <row r="626">
      <c r="A626" s="35"/>
      <c r="B626" s="35"/>
      <c r="D626" s="36"/>
      <c r="K626" s="26"/>
      <c r="P626" s="33"/>
    </row>
    <row r="627">
      <c r="A627" s="35"/>
      <c r="B627" s="35"/>
      <c r="D627" s="36"/>
      <c r="K627" s="26"/>
      <c r="P627" s="33"/>
    </row>
    <row r="628">
      <c r="A628" s="35"/>
      <c r="B628" s="35"/>
      <c r="D628" s="36"/>
      <c r="K628" s="26"/>
      <c r="P628" s="33"/>
    </row>
    <row r="629">
      <c r="A629" s="35"/>
      <c r="B629" s="35"/>
      <c r="D629" s="36"/>
      <c r="K629" s="26"/>
      <c r="P629" s="33"/>
    </row>
    <row r="630">
      <c r="A630" s="35"/>
      <c r="B630" s="35"/>
      <c r="D630" s="36"/>
      <c r="K630" s="26"/>
      <c r="P630" s="33"/>
    </row>
    <row r="631">
      <c r="A631" s="35"/>
      <c r="B631" s="35"/>
      <c r="D631" s="36"/>
      <c r="K631" s="26"/>
      <c r="P631" s="33"/>
    </row>
    <row r="632">
      <c r="A632" s="35"/>
      <c r="B632" s="35"/>
      <c r="D632" s="36"/>
      <c r="K632" s="26"/>
      <c r="P632" s="33"/>
    </row>
    <row r="633">
      <c r="A633" s="35"/>
      <c r="B633" s="35"/>
      <c r="D633" s="36"/>
      <c r="K633" s="26"/>
      <c r="P633" s="33"/>
    </row>
    <row r="634">
      <c r="A634" s="35"/>
      <c r="B634" s="35"/>
      <c r="D634" s="36"/>
      <c r="K634" s="26"/>
      <c r="P634" s="33"/>
    </row>
    <row r="635">
      <c r="A635" s="35"/>
      <c r="B635" s="35"/>
      <c r="D635" s="36"/>
      <c r="K635" s="26"/>
      <c r="P635" s="33"/>
    </row>
    <row r="636">
      <c r="A636" s="35"/>
      <c r="B636" s="35"/>
      <c r="D636" s="36"/>
      <c r="K636" s="26"/>
      <c r="P636" s="33"/>
    </row>
    <row r="637">
      <c r="A637" s="35"/>
      <c r="B637" s="35"/>
      <c r="D637" s="36"/>
      <c r="K637" s="26"/>
      <c r="P637" s="33"/>
    </row>
    <row r="638">
      <c r="A638" s="35"/>
      <c r="B638" s="35"/>
      <c r="D638" s="36"/>
      <c r="K638" s="26"/>
      <c r="P638" s="33"/>
    </row>
    <row r="639">
      <c r="A639" s="35"/>
      <c r="B639" s="35"/>
      <c r="D639" s="36"/>
      <c r="K639" s="26"/>
      <c r="P639" s="33"/>
    </row>
    <row r="640">
      <c r="A640" s="35"/>
      <c r="B640" s="35"/>
      <c r="D640" s="36"/>
      <c r="K640" s="26"/>
      <c r="P640" s="33"/>
    </row>
    <row r="641">
      <c r="A641" s="35"/>
      <c r="B641" s="35"/>
      <c r="D641" s="36"/>
      <c r="K641" s="26"/>
      <c r="P641" s="33"/>
    </row>
    <row r="642">
      <c r="A642" s="35"/>
      <c r="B642" s="35"/>
      <c r="D642" s="36"/>
      <c r="K642" s="26"/>
      <c r="P642" s="33"/>
    </row>
    <row r="643">
      <c r="A643" s="35"/>
      <c r="B643" s="35"/>
      <c r="D643" s="36"/>
      <c r="K643" s="26"/>
      <c r="P643" s="33"/>
    </row>
    <row r="644">
      <c r="A644" s="35"/>
      <c r="B644" s="35"/>
      <c r="D644" s="36"/>
      <c r="K644" s="26"/>
      <c r="P644" s="33"/>
    </row>
    <row r="645">
      <c r="A645" s="35"/>
      <c r="B645" s="35"/>
      <c r="D645" s="36"/>
      <c r="K645" s="26"/>
      <c r="P645" s="33"/>
    </row>
    <row r="646">
      <c r="A646" s="35"/>
      <c r="B646" s="35"/>
      <c r="D646" s="36"/>
      <c r="K646" s="26"/>
      <c r="P646" s="33"/>
    </row>
    <row r="647">
      <c r="A647" s="35"/>
      <c r="B647" s="35"/>
      <c r="D647" s="36"/>
      <c r="K647" s="26"/>
      <c r="P647" s="33"/>
    </row>
    <row r="648">
      <c r="A648" s="35"/>
      <c r="B648" s="35"/>
      <c r="D648" s="36"/>
      <c r="K648" s="26"/>
      <c r="P648" s="33"/>
    </row>
    <row r="649">
      <c r="A649" s="35"/>
      <c r="B649" s="35"/>
      <c r="D649" s="36"/>
      <c r="K649" s="26"/>
      <c r="P649" s="33"/>
    </row>
    <row r="650">
      <c r="A650" s="35"/>
      <c r="B650" s="35"/>
      <c r="D650" s="36"/>
      <c r="K650" s="26"/>
      <c r="P650" s="33"/>
    </row>
    <row r="651">
      <c r="A651" s="35"/>
      <c r="B651" s="35"/>
      <c r="D651" s="36"/>
      <c r="K651" s="26"/>
      <c r="P651" s="33"/>
    </row>
    <row r="652">
      <c r="A652" s="35"/>
      <c r="B652" s="35"/>
      <c r="D652" s="36"/>
      <c r="K652" s="26"/>
      <c r="P652" s="33"/>
    </row>
    <row r="653">
      <c r="A653" s="35"/>
      <c r="B653" s="35"/>
      <c r="D653" s="36"/>
      <c r="K653" s="26"/>
      <c r="P653" s="33"/>
    </row>
    <row r="654">
      <c r="A654" s="35"/>
      <c r="B654" s="35"/>
      <c r="D654" s="36"/>
      <c r="K654" s="26"/>
      <c r="P654" s="33"/>
    </row>
    <row r="655">
      <c r="A655" s="35"/>
      <c r="B655" s="35"/>
      <c r="D655" s="36"/>
      <c r="K655" s="26"/>
      <c r="P655" s="33"/>
    </row>
    <row r="656">
      <c r="A656" s="35"/>
      <c r="B656" s="35"/>
      <c r="D656" s="36"/>
      <c r="K656" s="26"/>
      <c r="P656" s="33"/>
    </row>
    <row r="657">
      <c r="A657" s="35"/>
      <c r="B657" s="35"/>
      <c r="D657" s="36"/>
      <c r="K657" s="26"/>
      <c r="P657" s="33"/>
    </row>
    <row r="658">
      <c r="A658" s="35"/>
      <c r="B658" s="35"/>
      <c r="D658" s="36"/>
      <c r="K658" s="26"/>
      <c r="P658" s="33"/>
    </row>
    <row r="659">
      <c r="A659" s="35"/>
      <c r="B659" s="35"/>
      <c r="D659" s="36"/>
      <c r="K659" s="26"/>
      <c r="P659" s="33"/>
    </row>
    <row r="660">
      <c r="A660" s="35"/>
      <c r="B660" s="35"/>
      <c r="D660" s="36"/>
      <c r="K660" s="26"/>
      <c r="P660" s="33"/>
    </row>
    <row r="661">
      <c r="A661" s="35"/>
      <c r="B661" s="35"/>
      <c r="D661" s="36"/>
      <c r="K661" s="26"/>
      <c r="P661" s="33"/>
    </row>
    <row r="662">
      <c r="A662" s="35"/>
      <c r="B662" s="35"/>
      <c r="D662" s="36"/>
      <c r="K662" s="26"/>
      <c r="P662" s="33"/>
    </row>
    <row r="663">
      <c r="A663" s="35"/>
      <c r="B663" s="35"/>
      <c r="D663" s="36"/>
      <c r="K663" s="26"/>
      <c r="P663" s="33"/>
    </row>
    <row r="664">
      <c r="A664" s="35"/>
      <c r="B664" s="35"/>
      <c r="D664" s="36"/>
      <c r="K664" s="26"/>
      <c r="P664" s="33"/>
    </row>
    <row r="665">
      <c r="A665" s="35"/>
      <c r="B665" s="35"/>
      <c r="D665" s="36"/>
      <c r="K665" s="26"/>
      <c r="P665" s="33"/>
    </row>
    <row r="666">
      <c r="A666" s="35"/>
      <c r="B666" s="35"/>
      <c r="D666" s="36"/>
      <c r="K666" s="26"/>
      <c r="P666" s="33"/>
    </row>
    <row r="667">
      <c r="A667" s="35"/>
      <c r="B667" s="35"/>
      <c r="D667" s="36"/>
      <c r="K667" s="26"/>
      <c r="P667" s="33"/>
    </row>
    <row r="668">
      <c r="A668" s="35"/>
      <c r="B668" s="35"/>
      <c r="D668" s="36"/>
      <c r="K668" s="26"/>
      <c r="P668" s="33"/>
    </row>
    <row r="669">
      <c r="A669" s="35"/>
      <c r="B669" s="35"/>
      <c r="D669" s="36"/>
      <c r="K669" s="26"/>
      <c r="P669" s="33"/>
    </row>
    <row r="670">
      <c r="A670" s="35"/>
      <c r="B670" s="35"/>
      <c r="D670" s="36"/>
      <c r="K670" s="26"/>
      <c r="P670" s="33"/>
    </row>
    <row r="671">
      <c r="A671" s="35"/>
      <c r="B671" s="35"/>
      <c r="D671" s="36"/>
      <c r="K671" s="26"/>
      <c r="P671" s="33"/>
    </row>
    <row r="672">
      <c r="A672" s="35"/>
      <c r="B672" s="35"/>
      <c r="D672" s="36"/>
      <c r="K672" s="26"/>
      <c r="P672" s="33"/>
    </row>
    <row r="673">
      <c r="A673" s="35"/>
      <c r="B673" s="35"/>
      <c r="D673" s="36"/>
      <c r="K673" s="26"/>
      <c r="P673" s="33"/>
    </row>
    <row r="674">
      <c r="A674" s="35"/>
      <c r="B674" s="35"/>
      <c r="D674" s="36"/>
      <c r="K674" s="26"/>
      <c r="P674" s="33"/>
    </row>
    <row r="675">
      <c r="A675" s="35"/>
      <c r="B675" s="35"/>
      <c r="D675" s="36"/>
      <c r="K675" s="26"/>
      <c r="P675" s="33"/>
    </row>
    <row r="676">
      <c r="A676" s="35"/>
      <c r="B676" s="35"/>
      <c r="D676" s="36"/>
      <c r="K676" s="26"/>
      <c r="P676" s="33"/>
    </row>
    <row r="677">
      <c r="A677" s="35"/>
      <c r="B677" s="35"/>
      <c r="D677" s="36"/>
      <c r="K677" s="26"/>
      <c r="P677" s="33"/>
    </row>
    <row r="678">
      <c r="A678" s="35"/>
      <c r="B678" s="35"/>
      <c r="D678" s="36"/>
      <c r="K678" s="26"/>
      <c r="P678" s="33"/>
    </row>
    <row r="679">
      <c r="A679" s="35"/>
      <c r="B679" s="35"/>
      <c r="D679" s="36"/>
      <c r="K679" s="26"/>
      <c r="P679" s="33"/>
    </row>
    <row r="680">
      <c r="A680" s="35"/>
      <c r="B680" s="35"/>
      <c r="D680" s="36"/>
      <c r="K680" s="26"/>
      <c r="P680" s="33"/>
    </row>
    <row r="681">
      <c r="A681" s="35"/>
      <c r="B681" s="35"/>
      <c r="D681" s="36"/>
      <c r="K681" s="26"/>
      <c r="P681" s="33"/>
    </row>
    <row r="682">
      <c r="A682" s="35"/>
      <c r="B682" s="35"/>
      <c r="D682" s="36"/>
      <c r="K682" s="26"/>
      <c r="P682" s="33"/>
    </row>
    <row r="683">
      <c r="A683" s="35"/>
      <c r="B683" s="35"/>
      <c r="D683" s="36"/>
      <c r="K683" s="26"/>
      <c r="P683" s="33"/>
    </row>
    <row r="684">
      <c r="A684" s="35"/>
      <c r="B684" s="35"/>
      <c r="D684" s="36"/>
      <c r="K684" s="26"/>
      <c r="P684" s="33"/>
    </row>
    <row r="685">
      <c r="A685" s="35"/>
      <c r="B685" s="35"/>
      <c r="D685" s="36"/>
      <c r="K685" s="26"/>
      <c r="P685" s="33"/>
    </row>
    <row r="686">
      <c r="A686" s="35"/>
      <c r="B686" s="35"/>
      <c r="D686" s="36"/>
      <c r="K686" s="26"/>
      <c r="P686" s="33"/>
    </row>
    <row r="687">
      <c r="A687" s="35"/>
      <c r="B687" s="35"/>
      <c r="D687" s="36"/>
      <c r="K687" s="26"/>
      <c r="P687" s="33"/>
    </row>
    <row r="688">
      <c r="A688" s="35"/>
      <c r="B688" s="35"/>
      <c r="D688" s="36"/>
      <c r="K688" s="26"/>
      <c r="P688" s="33"/>
    </row>
    <row r="689">
      <c r="A689" s="35"/>
      <c r="B689" s="35"/>
      <c r="D689" s="36"/>
      <c r="K689" s="26"/>
      <c r="P689" s="33"/>
    </row>
    <row r="690">
      <c r="A690" s="35"/>
      <c r="B690" s="35"/>
      <c r="D690" s="36"/>
      <c r="K690" s="26"/>
      <c r="P690" s="33"/>
    </row>
    <row r="691">
      <c r="A691" s="35"/>
      <c r="B691" s="35"/>
      <c r="D691" s="36"/>
      <c r="K691" s="26"/>
      <c r="P691" s="33"/>
    </row>
    <row r="692">
      <c r="A692" s="35"/>
      <c r="B692" s="35"/>
      <c r="D692" s="36"/>
      <c r="K692" s="26"/>
      <c r="P692" s="33"/>
    </row>
    <row r="693">
      <c r="A693" s="35"/>
      <c r="B693" s="35"/>
      <c r="D693" s="36"/>
      <c r="K693" s="26"/>
      <c r="P693" s="33"/>
    </row>
    <row r="694">
      <c r="A694" s="35"/>
      <c r="B694" s="35"/>
      <c r="D694" s="36"/>
      <c r="K694" s="26"/>
      <c r="P694" s="33"/>
    </row>
    <row r="695">
      <c r="A695" s="35"/>
      <c r="B695" s="35"/>
      <c r="D695" s="36"/>
      <c r="K695" s="26"/>
      <c r="P695" s="33"/>
    </row>
    <row r="696">
      <c r="A696" s="35"/>
      <c r="B696" s="35"/>
      <c r="D696" s="36"/>
      <c r="K696" s="26"/>
      <c r="P696" s="33"/>
    </row>
    <row r="697">
      <c r="A697" s="35"/>
      <c r="B697" s="35"/>
      <c r="D697" s="36"/>
      <c r="K697" s="26"/>
      <c r="P697" s="33"/>
    </row>
    <row r="698">
      <c r="A698" s="35"/>
      <c r="B698" s="35"/>
      <c r="D698" s="36"/>
      <c r="K698" s="26"/>
      <c r="P698" s="33"/>
    </row>
    <row r="699">
      <c r="A699" s="35"/>
      <c r="B699" s="35"/>
      <c r="D699" s="36"/>
      <c r="K699" s="26"/>
      <c r="P699" s="33"/>
    </row>
    <row r="700">
      <c r="A700" s="35"/>
      <c r="B700" s="35"/>
      <c r="D700" s="36"/>
      <c r="K700" s="26"/>
      <c r="P700" s="33"/>
    </row>
    <row r="701">
      <c r="A701" s="35"/>
      <c r="B701" s="35"/>
      <c r="D701" s="36"/>
      <c r="K701" s="26"/>
      <c r="P701" s="33"/>
    </row>
    <row r="702">
      <c r="A702" s="35"/>
      <c r="B702" s="35"/>
      <c r="D702" s="36"/>
      <c r="K702" s="26"/>
      <c r="P702" s="33"/>
    </row>
    <row r="703">
      <c r="A703" s="35"/>
      <c r="B703" s="35"/>
      <c r="D703" s="36"/>
      <c r="K703" s="26"/>
      <c r="P703" s="33"/>
    </row>
    <row r="704">
      <c r="A704" s="35"/>
      <c r="B704" s="35"/>
      <c r="D704" s="36"/>
      <c r="K704" s="26"/>
      <c r="P704" s="33"/>
    </row>
    <row r="705">
      <c r="A705" s="35"/>
      <c r="B705" s="35"/>
      <c r="D705" s="36"/>
      <c r="K705" s="26"/>
      <c r="P705" s="33"/>
    </row>
    <row r="706">
      <c r="A706" s="35"/>
      <c r="B706" s="35"/>
      <c r="D706" s="36"/>
      <c r="K706" s="26"/>
      <c r="P706" s="33"/>
    </row>
    <row r="707">
      <c r="A707" s="35"/>
      <c r="B707" s="35"/>
      <c r="D707" s="36"/>
      <c r="K707" s="26"/>
      <c r="P707" s="33"/>
    </row>
    <row r="708">
      <c r="A708" s="35"/>
      <c r="B708" s="35"/>
      <c r="D708" s="36"/>
      <c r="K708" s="26"/>
      <c r="P708" s="33"/>
    </row>
    <row r="709">
      <c r="A709" s="35"/>
      <c r="B709" s="35"/>
      <c r="D709" s="36"/>
      <c r="K709" s="26"/>
      <c r="P709" s="33"/>
    </row>
    <row r="710">
      <c r="A710" s="35"/>
      <c r="B710" s="35"/>
      <c r="D710" s="36"/>
      <c r="K710" s="26"/>
      <c r="P710" s="33"/>
    </row>
    <row r="711">
      <c r="A711" s="35"/>
      <c r="B711" s="35"/>
      <c r="D711" s="36"/>
      <c r="K711" s="26"/>
      <c r="P711" s="33"/>
    </row>
    <row r="712">
      <c r="A712" s="35"/>
      <c r="B712" s="35"/>
      <c r="D712" s="36"/>
      <c r="K712" s="26"/>
      <c r="P712" s="33"/>
    </row>
    <row r="713">
      <c r="A713" s="35"/>
      <c r="B713" s="35"/>
      <c r="D713" s="36"/>
      <c r="K713" s="26"/>
      <c r="P713" s="33"/>
    </row>
    <row r="714">
      <c r="A714" s="35"/>
      <c r="B714" s="35"/>
      <c r="D714" s="36"/>
      <c r="K714" s="26"/>
      <c r="P714" s="33"/>
    </row>
    <row r="715">
      <c r="A715" s="35"/>
      <c r="B715" s="35"/>
      <c r="D715" s="36"/>
      <c r="K715" s="26"/>
      <c r="P715" s="33"/>
    </row>
    <row r="716">
      <c r="A716" s="35"/>
      <c r="B716" s="35"/>
      <c r="D716" s="36"/>
      <c r="K716" s="26"/>
      <c r="P716" s="33"/>
    </row>
    <row r="717">
      <c r="A717" s="35"/>
      <c r="B717" s="35"/>
      <c r="D717" s="36"/>
      <c r="K717" s="26"/>
      <c r="P717" s="33"/>
    </row>
    <row r="718">
      <c r="A718" s="35"/>
      <c r="B718" s="35"/>
      <c r="D718" s="36"/>
      <c r="K718" s="26"/>
      <c r="P718" s="33"/>
    </row>
    <row r="719">
      <c r="A719" s="35"/>
      <c r="B719" s="35"/>
      <c r="D719" s="36"/>
      <c r="K719" s="26"/>
      <c r="P719" s="33"/>
    </row>
    <row r="720">
      <c r="A720" s="35"/>
      <c r="B720" s="35"/>
      <c r="D720" s="36"/>
      <c r="K720" s="26"/>
      <c r="P720" s="33"/>
    </row>
    <row r="721">
      <c r="A721" s="35"/>
      <c r="B721" s="35"/>
      <c r="D721" s="36"/>
      <c r="K721" s="26"/>
      <c r="P721" s="33"/>
    </row>
    <row r="722">
      <c r="A722" s="35"/>
      <c r="B722" s="35"/>
      <c r="D722" s="36"/>
      <c r="K722" s="26"/>
      <c r="P722" s="33"/>
    </row>
    <row r="723">
      <c r="A723" s="35"/>
      <c r="B723" s="35"/>
      <c r="D723" s="36"/>
      <c r="K723" s="26"/>
      <c r="P723" s="33"/>
    </row>
    <row r="724">
      <c r="A724" s="35"/>
      <c r="B724" s="35"/>
      <c r="D724" s="36"/>
      <c r="K724" s="26"/>
      <c r="P724" s="33"/>
    </row>
    <row r="725">
      <c r="A725" s="35"/>
      <c r="B725" s="35"/>
      <c r="D725" s="36"/>
      <c r="K725" s="26"/>
      <c r="P725" s="33"/>
    </row>
    <row r="726">
      <c r="A726" s="35"/>
      <c r="B726" s="35"/>
      <c r="D726" s="36"/>
      <c r="K726" s="26"/>
      <c r="P726" s="33"/>
    </row>
    <row r="727">
      <c r="A727" s="35"/>
      <c r="B727" s="35"/>
      <c r="D727" s="36"/>
      <c r="K727" s="26"/>
      <c r="P727" s="33"/>
    </row>
    <row r="728">
      <c r="A728" s="35"/>
      <c r="B728" s="35"/>
      <c r="D728" s="36"/>
      <c r="K728" s="26"/>
      <c r="P728" s="33"/>
    </row>
    <row r="729">
      <c r="A729" s="35"/>
      <c r="B729" s="35"/>
      <c r="D729" s="36"/>
      <c r="K729" s="26"/>
      <c r="P729" s="33"/>
    </row>
    <row r="730">
      <c r="A730" s="35"/>
      <c r="B730" s="35"/>
      <c r="D730" s="36"/>
      <c r="K730" s="26"/>
      <c r="P730" s="33"/>
    </row>
    <row r="731">
      <c r="A731" s="35"/>
      <c r="B731" s="35"/>
      <c r="D731" s="36"/>
      <c r="K731" s="26"/>
      <c r="P731" s="33"/>
    </row>
    <row r="732">
      <c r="A732" s="35"/>
      <c r="B732" s="35"/>
      <c r="D732" s="36"/>
      <c r="K732" s="26"/>
      <c r="P732" s="33"/>
    </row>
    <row r="733">
      <c r="A733" s="35"/>
      <c r="B733" s="35"/>
      <c r="D733" s="36"/>
      <c r="K733" s="26"/>
      <c r="P733" s="33"/>
    </row>
    <row r="734">
      <c r="A734" s="35"/>
      <c r="B734" s="35"/>
      <c r="D734" s="36"/>
      <c r="K734" s="26"/>
      <c r="P734" s="33"/>
    </row>
    <row r="735">
      <c r="A735" s="35"/>
      <c r="B735" s="35"/>
      <c r="D735" s="36"/>
      <c r="K735" s="26"/>
      <c r="P735" s="33"/>
    </row>
    <row r="736">
      <c r="A736" s="35"/>
      <c r="B736" s="35"/>
      <c r="D736" s="36"/>
      <c r="K736" s="26"/>
      <c r="P736" s="33"/>
    </row>
    <row r="737">
      <c r="A737" s="35"/>
      <c r="B737" s="35"/>
      <c r="D737" s="36"/>
      <c r="K737" s="26"/>
      <c r="P737" s="33"/>
    </row>
    <row r="738">
      <c r="A738" s="35"/>
      <c r="B738" s="35"/>
      <c r="D738" s="36"/>
      <c r="K738" s="26"/>
      <c r="P738" s="33"/>
    </row>
    <row r="739">
      <c r="A739" s="35"/>
      <c r="B739" s="35"/>
      <c r="D739" s="36"/>
      <c r="K739" s="26"/>
      <c r="P739" s="33"/>
    </row>
    <row r="740">
      <c r="A740" s="35"/>
      <c r="B740" s="35"/>
      <c r="D740" s="36"/>
      <c r="K740" s="26"/>
      <c r="P740" s="33"/>
    </row>
    <row r="741">
      <c r="A741" s="35"/>
      <c r="B741" s="35"/>
      <c r="D741" s="36"/>
      <c r="K741" s="26"/>
      <c r="P741" s="33"/>
    </row>
    <row r="742">
      <c r="A742" s="35"/>
      <c r="B742" s="35"/>
      <c r="D742" s="36"/>
      <c r="K742" s="26"/>
      <c r="P742" s="33"/>
    </row>
    <row r="743">
      <c r="A743" s="35"/>
      <c r="B743" s="35"/>
      <c r="D743" s="36"/>
      <c r="K743" s="26"/>
      <c r="P743" s="33"/>
    </row>
    <row r="744">
      <c r="A744" s="35"/>
      <c r="B744" s="35"/>
      <c r="D744" s="36"/>
      <c r="K744" s="26"/>
      <c r="P744" s="33"/>
    </row>
    <row r="745">
      <c r="A745" s="35"/>
      <c r="B745" s="35"/>
      <c r="D745" s="36"/>
      <c r="K745" s="26"/>
      <c r="P745" s="33"/>
    </row>
    <row r="746">
      <c r="A746" s="35"/>
      <c r="B746" s="35"/>
      <c r="D746" s="36"/>
      <c r="K746" s="26"/>
      <c r="P746" s="33"/>
    </row>
    <row r="747">
      <c r="A747" s="35"/>
      <c r="B747" s="35"/>
      <c r="D747" s="36"/>
      <c r="K747" s="26"/>
      <c r="P747" s="33"/>
    </row>
    <row r="748">
      <c r="A748" s="35"/>
      <c r="B748" s="35"/>
      <c r="D748" s="36"/>
      <c r="K748" s="26"/>
      <c r="P748" s="33"/>
    </row>
    <row r="749">
      <c r="A749" s="35"/>
      <c r="B749" s="35"/>
      <c r="D749" s="36"/>
      <c r="K749" s="26"/>
      <c r="P749" s="33"/>
    </row>
    <row r="750">
      <c r="A750" s="35"/>
      <c r="B750" s="35"/>
      <c r="D750" s="36"/>
      <c r="K750" s="26"/>
      <c r="P750" s="33"/>
    </row>
    <row r="751">
      <c r="A751" s="35"/>
      <c r="B751" s="35"/>
      <c r="D751" s="36"/>
      <c r="K751" s="26"/>
      <c r="P751" s="33"/>
    </row>
    <row r="752">
      <c r="A752" s="35"/>
      <c r="B752" s="35"/>
      <c r="D752" s="36"/>
      <c r="K752" s="26"/>
      <c r="P752" s="33"/>
    </row>
    <row r="753">
      <c r="A753" s="35"/>
      <c r="B753" s="35"/>
      <c r="D753" s="36"/>
      <c r="K753" s="26"/>
      <c r="P753" s="33"/>
    </row>
    <row r="754">
      <c r="A754" s="35"/>
      <c r="B754" s="35"/>
      <c r="D754" s="36"/>
      <c r="K754" s="26"/>
      <c r="P754" s="33"/>
    </row>
    <row r="755">
      <c r="A755" s="35"/>
      <c r="B755" s="35"/>
      <c r="D755" s="36"/>
      <c r="K755" s="26"/>
      <c r="P755" s="33"/>
    </row>
    <row r="756">
      <c r="A756" s="35"/>
      <c r="B756" s="35"/>
      <c r="D756" s="36"/>
      <c r="K756" s="26"/>
      <c r="P756" s="33"/>
    </row>
    <row r="757">
      <c r="A757" s="35"/>
      <c r="B757" s="35"/>
      <c r="D757" s="36"/>
      <c r="K757" s="26"/>
      <c r="P757" s="33"/>
    </row>
    <row r="758">
      <c r="A758" s="35"/>
      <c r="B758" s="35"/>
      <c r="D758" s="36"/>
      <c r="K758" s="26"/>
      <c r="P758" s="33"/>
    </row>
    <row r="759">
      <c r="A759" s="35"/>
      <c r="B759" s="35"/>
      <c r="D759" s="36"/>
      <c r="K759" s="26"/>
      <c r="P759" s="33"/>
    </row>
    <row r="760">
      <c r="A760" s="35"/>
      <c r="B760" s="35"/>
      <c r="D760" s="36"/>
      <c r="K760" s="26"/>
      <c r="P760" s="33"/>
    </row>
    <row r="761">
      <c r="A761" s="35"/>
      <c r="B761" s="35"/>
      <c r="D761" s="36"/>
      <c r="K761" s="26"/>
      <c r="P761" s="33"/>
    </row>
    <row r="762">
      <c r="A762" s="35"/>
      <c r="B762" s="35"/>
      <c r="D762" s="36"/>
      <c r="K762" s="26"/>
      <c r="P762" s="33"/>
    </row>
    <row r="763">
      <c r="A763" s="35"/>
      <c r="B763" s="35"/>
      <c r="D763" s="36"/>
      <c r="K763" s="26"/>
      <c r="P763" s="33"/>
    </row>
    <row r="764">
      <c r="A764" s="35"/>
      <c r="B764" s="35"/>
      <c r="D764" s="36"/>
      <c r="K764" s="26"/>
      <c r="P764" s="33"/>
    </row>
    <row r="765">
      <c r="A765" s="35"/>
      <c r="B765" s="35"/>
      <c r="D765" s="36"/>
      <c r="K765" s="26"/>
      <c r="P765" s="33"/>
    </row>
    <row r="766">
      <c r="A766" s="35"/>
      <c r="B766" s="35"/>
      <c r="D766" s="36"/>
      <c r="K766" s="26"/>
      <c r="P766" s="33"/>
    </row>
    <row r="767">
      <c r="A767" s="35"/>
      <c r="B767" s="35"/>
      <c r="D767" s="36"/>
      <c r="K767" s="26"/>
      <c r="P767" s="33"/>
    </row>
    <row r="768">
      <c r="A768" s="35"/>
      <c r="B768" s="35"/>
      <c r="D768" s="36"/>
      <c r="K768" s="26"/>
      <c r="P768" s="33"/>
    </row>
    <row r="769">
      <c r="A769" s="35"/>
      <c r="B769" s="35"/>
      <c r="D769" s="36"/>
      <c r="K769" s="26"/>
      <c r="P769" s="33"/>
    </row>
    <row r="770">
      <c r="A770" s="35"/>
      <c r="B770" s="35"/>
      <c r="D770" s="36"/>
      <c r="K770" s="26"/>
      <c r="P770" s="33"/>
    </row>
    <row r="771">
      <c r="A771" s="35"/>
      <c r="B771" s="35"/>
      <c r="D771" s="36"/>
      <c r="K771" s="26"/>
      <c r="P771" s="33"/>
    </row>
    <row r="772">
      <c r="A772" s="35"/>
      <c r="B772" s="35"/>
      <c r="D772" s="36"/>
      <c r="K772" s="26"/>
      <c r="P772" s="33"/>
    </row>
    <row r="773">
      <c r="A773" s="35"/>
      <c r="B773" s="35"/>
      <c r="D773" s="36"/>
      <c r="K773" s="26"/>
      <c r="P773" s="33"/>
    </row>
    <row r="774">
      <c r="A774" s="35"/>
      <c r="B774" s="35"/>
      <c r="D774" s="36"/>
      <c r="K774" s="26"/>
      <c r="P774" s="33"/>
    </row>
    <row r="775">
      <c r="A775" s="35"/>
      <c r="B775" s="35"/>
      <c r="D775" s="36"/>
      <c r="K775" s="26"/>
      <c r="P775" s="33"/>
    </row>
    <row r="776">
      <c r="A776" s="35"/>
      <c r="B776" s="35"/>
      <c r="D776" s="36"/>
      <c r="K776" s="26"/>
      <c r="P776" s="33"/>
    </row>
    <row r="777">
      <c r="A777" s="35"/>
      <c r="B777" s="35"/>
      <c r="D777" s="36"/>
      <c r="K777" s="26"/>
      <c r="P777" s="33"/>
    </row>
    <row r="778">
      <c r="A778" s="35"/>
      <c r="B778" s="35"/>
      <c r="D778" s="36"/>
      <c r="K778" s="26"/>
      <c r="P778" s="33"/>
    </row>
    <row r="779">
      <c r="A779" s="35"/>
      <c r="B779" s="35"/>
      <c r="D779" s="36"/>
      <c r="K779" s="26"/>
      <c r="P779" s="33"/>
    </row>
    <row r="780">
      <c r="A780" s="35"/>
      <c r="B780" s="35"/>
      <c r="D780" s="36"/>
      <c r="K780" s="26"/>
      <c r="P780" s="33"/>
    </row>
    <row r="781">
      <c r="A781" s="35"/>
      <c r="B781" s="35"/>
      <c r="D781" s="36"/>
      <c r="K781" s="26"/>
      <c r="P781" s="33"/>
    </row>
    <row r="782">
      <c r="A782" s="35"/>
      <c r="B782" s="35"/>
      <c r="D782" s="36"/>
      <c r="K782" s="26"/>
      <c r="P782" s="33"/>
    </row>
    <row r="783">
      <c r="A783" s="35"/>
      <c r="B783" s="35"/>
      <c r="D783" s="36"/>
      <c r="K783" s="26"/>
      <c r="P783" s="33"/>
    </row>
    <row r="784">
      <c r="A784" s="35"/>
      <c r="B784" s="35"/>
      <c r="D784" s="36"/>
      <c r="K784" s="26"/>
      <c r="P784" s="33"/>
    </row>
    <row r="785">
      <c r="A785" s="35"/>
      <c r="B785" s="35"/>
      <c r="D785" s="36"/>
      <c r="K785" s="26"/>
      <c r="P785" s="33"/>
    </row>
    <row r="786">
      <c r="A786" s="35"/>
      <c r="B786" s="35"/>
      <c r="D786" s="36"/>
      <c r="K786" s="26"/>
      <c r="P786" s="33"/>
    </row>
    <row r="787">
      <c r="A787" s="35"/>
      <c r="B787" s="35"/>
      <c r="D787" s="36"/>
      <c r="K787" s="26"/>
      <c r="P787" s="33"/>
    </row>
    <row r="788">
      <c r="A788" s="35"/>
      <c r="B788" s="35"/>
      <c r="D788" s="36"/>
      <c r="K788" s="26"/>
      <c r="P788" s="33"/>
    </row>
    <row r="789">
      <c r="A789" s="35"/>
      <c r="B789" s="35"/>
      <c r="D789" s="36"/>
      <c r="K789" s="26"/>
      <c r="P789" s="33"/>
    </row>
    <row r="790">
      <c r="A790" s="35"/>
      <c r="B790" s="35"/>
      <c r="D790" s="36"/>
      <c r="K790" s="26"/>
      <c r="P790" s="33"/>
    </row>
    <row r="791">
      <c r="A791" s="35"/>
      <c r="B791" s="35"/>
      <c r="D791" s="36"/>
      <c r="K791" s="26"/>
      <c r="P791" s="33"/>
    </row>
    <row r="792">
      <c r="A792" s="35"/>
      <c r="B792" s="35"/>
      <c r="D792" s="36"/>
      <c r="K792" s="26"/>
      <c r="P792" s="33"/>
    </row>
    <row r="793">
      <c r="A793" s="35"/>
      <c r="B793" s="35"/>
      <c r="D793" s="36"/>
      <c r="K793" s="26"/>
      <c r="P793" s="33"/>
    </row>
    <row r="794">
      <c r="A794" s="35"/>
      <c r="B794" s="35"/>
      <c r="D794" s="36"/>
      <c r="K794" s="26"/>
      <c r="P794" s="33"/>
    </row>
    <row r="795">
      <c r="A795" s="35"/>
      <c r="B795" s="35"/>
      <c r="D795" s="36"/>
      <c r="K795" s="26"/>
      <c r="P795" s="33"/>
    </row>
    <row r="796">
      <c r="A796" s="35"/>
      <c r="B796" s="35"/>
      <c r="D796" s="36"/>
      <c r="K796" s="26"/>
      <c r="P796" s="33"/>
    </row>
    <row r="797">
      <c r="A797" s="35"/>
      <c r="B797" s="35"/>
      <c r="D797" s="36"/>
      <c r="K797" s="26"/>
      <c r="P797" s="33"/>
    </row>
    <row r="798">
      <c r="A798" s="35"/>
      <c r="B798" s="35"/>
      <c r="D798" s="36"/>
      <c r="K798" s="26"/>
      <c r="P798" s="33"/>
    </row>
    <row r="799">
      <c r="A799" s="35"/>
      <c r="B799" s="35"/>
      <c r="D799" s="36"/>
      <c r="K799" s="26"/>
      <c r="P799" s="33"/>
    </row>
    <row r="800">
      <c r="A800" s="35"/>
      <c r="B800" s="35"/>
      <c r="D800" s="36"/>
      <c r="K800" s="26"/>
      <c r="P800" s="33"/>
    </row>
    <row r="801">
      <c r="A801" s="35"/>
      <c r="B801" s="35"/>
      <c r="D801" s="36"/>
      <c r="K801" s="26"/>
      <c r="P801" s="33"/>
    </row>
    <row r="802">
      <c r="A802" s="35"/>
      <c r="B802" s="35"/>
      <c r="D802" s="36"/>
      <c r="K802" s="26"/>
      <c r="P802" s="33"/>
    </row>
    <row r="803">
      <c r="A803" s="35"/>
      <c r="B803" s="35"/>
      <c r="D803" s="36"/>
      <c r="K803" s="26"/>
      <c r="P803" s="33"/>
    </row>
    <row r="804">
      <c r="A804" s="35"/>
      <c r="B804" s="35"/>
      <c r="D804" s="36"/>
      <c r="K804" s="26"/>
      <c r="P804" s="33"/>
    </row>
    <row r="805">
      <c r="A805" s="35"/>
      <c r="B805" s="35"/>
      <c r="D805" s="36"/>
      <c r="K805" s="26"/>
      <c r="P805" s="33"/>
    </row>
    <row r="806">
      <c r="A806" s="35"/>
      <c r="B806" s="35"/>
      <c r="D806" s="36"/>
      <c r="K806" s="26"/>
      <c r="P806" s="33"/>
    </row>
    <row r="807">
      <c r="A807" s="35"/>
      <c r="B807" s="35"/>
      <c r="D807" s="36"/>
      <c r="K807" s="26"/>
      <c r="P807" s="33"/>
    </row>
    <row r="808">
      <c r="A808" s="35"/>
      <c r="B808" s="35"/>
      <c r="D808" s="36"/>
      <c r="K808" s="26"/>
      <c r="P808" s="33"/>
    </row>
    <row r="809">
      <c r="A809" s="35"/>
      <c r="B809" s="35"/>
      <c r="D809" s="36"/>
      <c r="K809" s="26"/>
      <c r="P809" s="33"/>
    </row>
    <row r="810">
      <c r="A810" s="35"/>
      <c r="B810" s="35"/>
      <c r="D810" s="36"/>
      <c r="K810" s="26"/>
      <c r="P810" s="33"/>
    </row>
    <row r="811">
      <c r="A811" s="35"/>
      <c r="B811" s="35"/>
      <c r="D811" s="36"/>
      <c r="K811" s="26"/>
      <c r="P811" s="33"/>
    </row>
    <row r="812">
      <c r="A812" s="35"/>
      <c r="B812" s="35"/>
      <c r="D812" s="36"/>
      <c r="K812" s="26"/>
      <c r="P812" s="33"/>
    </row>
    <row r="813">
      <c r="A813" s="35"/>
      <c r="B813" s="35"/>
      <c r="D813" s="36"/>
      <c r="K813" s="26"/>
      <c r="P813" s="33"/>
    </row>
    <row r="814">
      <c r="A814" s="35"/>
      <c r="B814" s="35"/>
      <c r="D814" s="36"/>
      <c r="K814" s="26"/>
      <c r="P814" s="33"/>
    </row>
    <row r="815">
      <c r="A815" s="35"/>
      <c r="B815" s="35"/>
      <c r="D815" s="36"/>
      <c r="K815" s="26"/>
      <c r="P815" s="33"/>
    </row>
    <row r="816">
      <c r="A816" s="35"/>
      <c r="B816" s="35"/>
      <c r="D816" s="36"/>
      <c r="K816" s="26"/>
      <c r="P816" s="33"/>
    </row>
    <row r="817">
      <c r="A817" s="35"/>
      <c r="B817" s="35"/>
      <c r="D817" s="36"/>
      <c r="K817" s="26"/>
      <c r="P817" s="33"/>
    </row>
    <row r="818">
      <c r="A818" s="35"/>
      <c r="B818" s="35"/>
      <c r="D818" s="36"/>
      <c r="K818" s="26"/>
      <c r="P818" s="33"/>
    </row>
    <row r="819">
      <c r="A819" s="35"/>
      <c r="B819" s="35"/>
      <c r="D819" s="36"/>
      <c r="K819" s="26"/>
      <c r="P819" s="33"/>
    </row>
    <row r="820">
      <c r="A820" s="35"/>
      <c r="B820" s="35"/>
      <c r="D820" s="36"/>
      <c r="K820" s="26"/>
      <c r="P820" s="33"/>
    </row>
    <row r="821">
      <c r="A821" s="35"/>
      <c r="B821" s="35"/>
      <c r="D821" s="36"/>
      <c r="K821" s="26"/>
      <c r="P821" s="33"/>
    </row>
    <row r="822">
      <c r="A822" s="35"/>
      <c r="B822" s="35"/>
      <c r="D822" s="36"/>
      <c r="K822" s="26"/>
      <c r="P822" s="33"/>
    </row>
    <row r="823">
      <c r="A823" s="35"/>
      <c r="B823" s="35"/>
      <c r="D823" s="36"/>
      <c r="K823" s="26"/>
      <c r="P823" s="33"/>
    </row>
    <row r="824">
      <c r="A824" s="35"/>
      <c r="B824" s="35"/>
      <c r="D824" s="36"/>
      <c r="K824" s="26"/>
      <c r="P824" s="33"/>
    </row>
    <row r="825">
      <c r="A825" s="35"/>
      <c r="B825" s="35"/>
      <c r="D825" s="36"/>
      <c r="K825" s="26"/>
      <c r="P825" s="33"/>
    </row>
    <row r="826">
      <c r="A826" s="35"/>
      <c r="B826" s="35"/>
      <c r="D826" s="36"/>
      <c r="K826" s="26"/>
      <c r="P826" s="33"/>
    </row>
    <row r="827">
      <c r="A827" s="35"/>
      <c r="B827" s="35"/>
      <c r="D827" s="36"/>
      <c r="K827" s="26"/>
      <c r="P827" s="33"/>
    </row>
    <row r="828">
      <c r="A828" s="35"/>
      <c r="B828" s="35"/>
      <c r="D828" s="36"/>
      <c r="K828" s="26"/>
      <c r="P828" s="33"/>
    </row>
    <row r="829">
      <c r="A829" s="35"/>
      <c r="B829" s="35"/>
      <c r="D829" s="36"/>
      <c r="K829" s="26"/>
      <c r="P829" s="33"/>
    </row>
    <row r="830">
      <c r="A830" s="35"/>
      <c r="B830" s="35"/>
      <c r="D830" s="36"/>
      <c r="K830" s="26"/>
      <c r="P830" s="33"/>
    </row>
    <row r="831">
      <c r="A831" s="35"/>
      <c r="B831" s="35"/>
      <c r="D831" s="36"/>
      <c r="K831" s="26"/>
      <c r="P831" s="33"/>
    </row>
    <row r="832">
      <c r="A832" s="35"/>
      <c r="B832" s="35"/>
      <c r="D832" s="36"/>
      <c r="K832" s="26"/>
      <c r="P832" s="33"/>
    </row>
    <row r="833">
      <c r="A833" s="35"/>
      <c r="B833" s="35"/>
      <c r="D833" s="36"/>
      <c r="K833" s="26"/>
      <c r="P833" s="33"/>
    </row>
    <row r="834">
      <c r="A834" s="35"/>
      <c r="B834" s="35"/>
      <c r="D834" s="36"/>
      <c r="K834" s="26"/>
      <c r="P834" s="33"/>
    </row>
    <row r="835">
      <c r="A835" s="35"/>
      <c r="B835" s="35"/>
      <c r="D835" s="36"/>
      <c r="K835" s="26"/>
      <c r="P835" s="33"/>
    </row>
    <row r="836">
      <c r="A836" s="35"/>
      <c r="B836" s="35"/>
      <c r="D836" s="36"/>
      <c r="K836" s="26"/>
      <c r="P836" s="33"/>
    </row>
    <row r="837">
      <c r="A837" s="35"/>
      <c r="B837" s="35"/>
      <c r="D837" s="36"/>
      <c r="K837" s="26"/>
      <c r="P837" s="33"/>
    </row>
    <row r="838">
      <c r="A838" s="35"/>
      <c r="B838" s="35"/>
      <c r="D838" s="36"/>
      <c r="K838" s="26"/>
      <c r="P838" s="33"/>
    </row>
    <row r="839">
      <c r="A839" s="35"/>
      <c r="B839" s="35"/>
      <c r="D839" s="36"/>
      <c r="K839" s="26"/>
      <c r="P839" s="33"/>
    </row>
    <row r="840">
      <c r="A840" s="35"/>
      <c r="B840" s="35"/>
      <c r="D840" s="36"/>
      <c r="K840" s="26"/>
      <c r="P840" s="33"/>
    </row>
    <row r="841">
      <c r="A841" s="35"/>
      <c r="B841" s="35"/>
      <c r="D841" s="36"/>
      <c r="K841" s="26"/>
      <c r="P841" s="33"/>
    </row>
    <row r="842">
      <c r="A842" s="35"/>
      <c r="B842" s="35"/>
      <c r="D842" s="36"/>
      <c r="K842" s="26"/>
      <c r="P842" s="33"/>
    </row>
    <row r="843">
      <c r="A843" s="35"/>
      <c r="B843" s="35"/>
      <c r="D843" s="36"/>
      <c r="K843" s="26"/>
      <c r="P843" s="33"/>
    </row>
    <row r="844">
      <c r="A844" s="35"/>
      <c r="B844" s="35"/>
      <c r="D844" s="36"/>
      <c r="K844" s="26"/>
      <c r="P844" s="33"/>
    </row>
    <row r="845">
      <c r="A845" s="35"/>
      <c r="B845" s="35"/>
      <c r="D845" s="36"/>
      <c r="K845" s="26"/>
      <c r="P845" s="33"/>
    </row>
    <row r="846">
      <c r="A846" s="35"/>
      <c r="B846" s="35"/>
      <c r="D846" s="36"/>
      <c r="K846" s="26"/>
      <c r="P846" s="33"/>
    </row>
    <row r="847">
      <c r="A847" s="35"/>
      <c r="B847" s="35"/>
      <c r="D847" s="36"/>
      <c r="K847" s="26"/>
      <c r="P847" s="33"/>
    </row>
    <row r="848">
      <c r="A848" s="35"/>
      <c r="B848" s="35"/>
      <c r="D848" s="36"/>
      <c r="K848" s="26"/>
      <c r="P848" s="33"/>
    </row>
    <row r="849">
      <c r="A849" s="35"/>
      <c r="B849" s="35"/>
      <c r="D849" s="36"/>
      <c r="K849" s="26"/>
      <c r="P849" s="33"/>
    </row>
    <row r="850">
      <c r="A850" s="35"/>
      <c r="B850" s="35"/>
      <c r="D850" s="36"/>
      <c r="K850" s="26"/>
      <c r="P850" s="33"/>
    </row>
    <row r="851">
      <c r="A851" s="35"/>
      <c r="B851" s="35"/>
      <c r="D851" s="36"/>
      <c r="K851" s="26"/>
      <c r="P851" s="33"/>
    </row>
    <row r="852">
      <c r="A852" s="35"/>
      <c r="B852" s="35"/>
      <c r="D852" s="36"/>
      <c r="K852" s="26"/>
      <c r="P852" s="33"/>
    </row>
    <row r="853">
      <c r="A853" s="35"/>
      <c r="B853" s="35"/>
      <c r="D853" s="36"/>
      <c r="K853" s="26"/>
      <c r="P853" s="33"/>
    </row>
    <row r="854">
      <c r="A854" s="35"/>
      <c r="B854" s="35"/>
      <c r="D854" s="36"/>
      <c r="K854" s="26"/>
      <c r="P854" s="33"/>
    </row>
    <row r="855">
      <c r="A855" s="35"/>
      <c r="B855" s="35"/>
      <c r="D855" s="36"/>
      <c r="K855" s="26"/>
      <c r="P855" s="33"/>
    </row>
    <row r="856">
      <c r="A856" s="35"/>
      <c r="B856" s="35"/>
      <c r="D856" s="36"/>
      <c r="K856" s="26"/>
      <c r="P856" s="33"/>
    </row>
    <row r="857">
      <c r="A857" s="35"/>
      <c r="B857" s="35"/>
      <c r="D857" s="36"/>
      <c r="K857" s="26"/>
      <c r="P857" s="33"/>
    </row>
    <row r="858">
      <c r="A858" s="35"/>
      <c r="B858" s="35"/>
      <c r="D858" s="36"/>
      <c r="K858" s="26"/>
      <c r="P858" s="33"/>
    </row>
    <row r="859">
      <c r="A859" s="35"/>
      <c r="B859" s="35"/>
      <c r="D859" s="36"/>
      <c r="K859" s="26"/>
      <c r="P859" s="33"/>
    </row>
    <row r="860">
      <c r="A860" s="35"/>
      <c r="B860" s="35"/>
      <c r="D860" s="36"/>
      <c r="K860" s="26"/>
      <c r="P860" s="33"/>
    </row>
    <row r="861">
      <c r="A861" s="35"/>
      <c r="B861" s="35"/>
      <c r="D861" s="36"/>
      <c r="K861" s="26"/>
      <c r="P861" s="33"/>
    </row>
    <row r="862">
      <c r="A862" s="35"/>
      <c r="B862" s="35"/>
      <c r="D862" s="36"/>
      <c r="K862" s="26"/>
      <c r="P862" s="33"/>
    </row>
    <row r="863">
      <c r="A863" s="35"/>
      <c r="B863" s="35"/>
      <c r="D863" s="36"/>
      <c r="K863" s="26"/>
      <c r="P863" s="33"/>
    </row>
    <row r="864">
      <c r="A864" s="35"/>
      <c r="B864" s="35"/>
      <c r="D864" s="36"/>
      <c r="K864" s="26"/>
      <c r="P864" s="33"/>
    </row>
    <row r="865">
      <c r="A865" s="35"/>
      <c r="B865" s="35"/>
      <c r="D865" s="36"/>
      <c r="K865" s="26"/>
      <c r="P865" s="33"/>
    </row>
    <row r="866">
      <c r="A866" s="35"/>
      <c r="B866" s="35"/>
      <c r="D866" s="36"/>
      <c r="K866" s="26"/>
      <c r="P866" s="33"/>
    </row>
    <row r="867">
      <c r="A867" s="35"/>
      <c r="B867" s="35"/>
      <c r="D867" s="36"/>
      <c r="K867" s="26"/>
      <c r="P867" s="33"/>
    </row>
    <row r="868">
      <c r="A868" s="35"/>
      <c r="B868" s="35"/>
      <c r="D868" s="36"/>
      <c r="K868" s="26"/>
      <c r="P868" s="33"/>
    </row>
    <row r="869">
      <c r="A869" s="35"/>
      <c r="B869" s="35"/>
      <c r="D869" s="36"/>
      <c r="K869" s="26"/>
      <c r="P869" s="33"/>
    </row>
    <row r="870">
      <c r="A870" s="35"/>
      <c r="B870" s="35"/>
      <c r="D870" s="36"/>
      <c r="K870" s="26"/>
      <c r="P870" s="33"/>
    </row>
    <row r="871">
      <c r="A871" s="35"/>
      <c r="B871" s="35"/>
      <c r="D871" s="36"/>
      <c r="K871" s="26"/>
      <c r="P871" s="33"/>
    </row>
    <row r="872">
      <c r="A872" s="35"/>
      <c r="B872" s="35"/>
      <c r="D872" s="36"/>
      <c r="K872" s="26"/>
      <c r="P872" s="33"/>
    </row>
    <row r="873">
      <c r="A873" s="35"/>
      <c r="B873" s="35"/>
      <c r="D873" s="36"/>
      <c r="K873" s="26"/>
      <c r="P873" s="33"/>
    </row>
    <row r="874">
      <c r="A874" s="35"/>
      <c r="B874" s="35"/>
      <c r="D874" s="36"/>
      <c r="K874" s="26"/>
      <c r="P874" s="33"/>
    </row>
    <row r="875">
      <c r="A875" s="35"/>
      <c r="B875" s="35"/>
      <c r="D875" s="36"/>
      <c r="K875" s="26"/>
      <c r="P875" s="33"/>
    </row>
    <row r="876">
      <c r="A876" s="35"/>
      <c r="B876" s="35"/>
      <c r="D876" s="36"/>
      <c r="K876" s="26"/>
      <c r="P876" s="33"/>
    </row>
    <row r="877">
      <c r="A877" s="35"/>
      <c r="B877" s="35"/>
      <c r="D877" s="36"/>
      <c r="K877" s="26"/>
      <c r="P877" s="33"/>
    </row>
    <row r="878">
      <c r="A878" s="35"/>
      <c r="B878" s="35"/>
      <c r="D878" s="36"/>
      <c r="K878" s="26"/>
      <c r="P878" s="33"/>
    </row>
    <row r="879">
      <c r="A879" s="35"/>
      <c r="B879" s="35"/>
      <c r="D879" s="36"/>
      <c r="K879" s="26"/>
      <c r="P879" s="33"/>
    </row>
    <row r="880">
      <c r="A880" s="35"/>
      <c r="B880" s="35"/>
      <c r="D880" s="36"/>
      <c r="K880" s="26"/>
      <c r="P880" s="33"/>
    </row>
    <row r="881">
      <c r="A881" s="35"/>
      <c r="B881" s="35"/>
      <c r="D881" s="36"/>
      <c r="K881" s="26"/>
      <c r="P881" s="33"/>
    </row>
    <row r="882">
      <c r="A882" s="35"/>
      <c r="B882" s="35"/>
      <c r="D882" s="36"/>
      <c r="K882" s="26"/>
      <c r="P882" s="33"/>
    </row>
    <row r="883">
      <c r="A883" s="35"/>
      <c r="B883" s="35"/>
      <c r="D883" s="36"/>
      <c r="K883" s="26"/>
      <c r="P883" s="33"/>
    </row>
    <row r="884">
      <c r="A884" s="35"/>
      <c r="B884" s="35"/>
      <c r="D884" s="36"/>
      <c r="K884" s="26"/>
      <c r="P884" s="33"/>
    </row>
    <row r="885">
      <c r="A885" s="35"/>
      <c r="B885" s="35"/>
      <c r="D885" s="36"/>
      <c r="K885" s="26"/>
      <c r="P885" s="33"/>
    </row>
    <row r="886">
      <c r="A886" s="35"/>
      <c r="B886" s="35"/>
      <c r="D886" s="36"/>
      <c r="K886" s="26"/>
      <c r="P886" s="33"/>
    </row>
    <row r="887">
      <c r="A887" s="35"/>
      <c r="B887" s="35"/>
      <c r="D887" s="36"/>
      <c r="K887" s="26"/>
      <c r="P887" s="33"/>
    </row>
    <row r="888">
      <c r="A888" s="35"/>
      <c r="B888" s="35"/>
      <c r="D888" s="36"/>
      <c r="K888" s="26"/>
      <c r="P888" s="33"/>
    </row>
    <row r="889">
      <c r="A889" s="35"/>
      <c r="B889" s="35"/>
      <c r="D889" s="36"/>
      <c r="K889" s="26"/>
      <c r="P889" s="33"/>
    </row>
    <row r="890">
      <c r="A890" s="35"/>
      <c r="B890" s="35"/>
      <c r="D890" s="36"/>
      <c r="K890" s="26"/>
      <c r="P890" s="33"/>
    </row>
    <row r="891">
      <c r="A891" s="35"/>
      <c r="B891" s="35"/>
      <c r="D891" s="36"/>
      <c r="K891" s="26"/>
      <c r="P891" s="33"/>
    </row>
    <row r="892">
      <c r="A892" s="35"/>
      <c r="B892" s="35"/>
      <c r="D892" s="36"/>
      <c r="K892" s="26"/>
      <c r="P892" s="33"/>
    </row>
    <row r="893">
      <c r="A893" s="35"/>
      <c r="B893" s="35"/>
      <c r="D893" s="36"/>
      <c r="K893" s="26"/>
      <c r="P893" s="33"/>
    </row>
    <row r="894">
      <c r="A894" s="35"/>
      <c r="B894" s="35"/>
      <c r="D894" s="36"/>
      <c r="K894" s="26"/>
      <c r="P894" s="33"/>
    </row>
    <row r="895">
      <c r="A895" s="35"/>
      <c r="B895" s="35"/>
      <c r="D895" s="36"/>
      <c r="K895" s="26"/>
      <c r="P895" s="33"/>
    </row>
    <row r="896">
      <c r="A896" s="35"/>
      <c r="B896" s="35"/>
      <c r="D896" s="36"/>
      <c r="K896" s="26"/>
      <c r="P896" s="33"/>
    </row>
    <row r="897">
      <c r="A897" s="35"/>
      <c r="B897" s="35"/>
      <c r="D897" s="36"/>
      <c r="K897" s="26"/>
      <c r="P897" s="33"/>
    </row>
    <row r="898">
      <c r="A898" s="35"/>
      <c r="B898" s="35"/>
      <c r="D898" s="36"/>
      <c r="K898" s="26"/>
      <c r="P898" s="33"/>
    </row>
    <row r="899">
      <c r="A899" s="35"/>
      <c r="B899" s="35"/>
      <c r="D899" s="36"/>
      <c r="K899" s="26"/>
      <c r="P899" s="33"/>
    </row>
    <row r="900">
      <c r="A900" s="35"/>
      <c r="B900" s="35"/>
      <c r="D900" s="36"/>
      <c r="K900" s="26"/>
      <c r="P900" s="33"/>
    </row>
    <row r="901">
      <c r="A901" s="35"/>
      <c r="B901" s="35"/>
      <c r="D901" s="36"/>
      <c r="K901" s="26"/>
      <c r="P901" s="33"/>
    </row>
    <row r="902">
      <c r="A902" s="35"/>
      <c r="B902" s="35"/>
      <c r="D902" s="36"/>
      <c r="K902" s="26"/>
      <c r="P902" s="33"/>
    </row>
    <row r="903">
      <c r="A903" s="35"/>
      <c r="B903" s="35"/>
      <c r="D903" s="36"/>
      <c r="K903" s="26"/>
      <c r="P903" s="33"/>
    </row>
    <row r="904">
      <c r="A904" s="35"/>
      <c r="B904" s="35"/>
      <c r="D904" s="36"/>
      <c r="K904" s="26"/>
      <c r="P904" s="33"/>
    </row>
    <row r="905">
      <c r="A905" s="35"/>
      <c r="B905" s="35"/>
      <c r="D905" s="36"/>
      <c r="K905" s="26"/>
      <c r="P905" s="33"/>
    </row>
    <row r="906">
      <c r="A906" s="35"/>
      <c r="B906" s="35"/>
      <c r="D906" s="36"/>
      <c r="K906" s="26"/>
      <c r="P906" s="33"/>
    </row>
    <row r="907">
      <c r="A907" s="35"/>
      <c r="B907" s="35"/>
      <c r="D907" s="36"/>
      <c r="K907" s="26"/>
      <c r="P907" s="33"/>
    </row>
    <row r="908">
      <c r="A908" s="35"/>
      <c r="B908" s="35"/>
      <c r="D908" s="36"/>
      <c r="K908" s="26"/>
      <c r="P908" s="33"/>
    </row>
    <row r="909">
      <c r="A909" s="35"/>
      <c r="B909" s="35"/>
      <c r="D909" s="36"/>
      <c r="K909" s="26"/>
      <c r="P909" s="33"/>
    </row>
    <row r="910">
      <c r="A910" s="35"/>
      <c r="B910" s="35"/>
      <c r="D910" s="36"/>
      <c r="K910" s="26"/>
      <c r="P910" s="33"/>
    </row>
    <row r="911">
      <c r="A911" s="35"/>
      <c r="B911" s="35"/>
      <c r="D911" s="36"/>
      <c r="K911" s="26"/>
      <c r="P911" s="33"/>
    </row>
    <row r="912">
      <c r="A912" s="35"/>
      <c r="B912" s="35"/>
      <c r="D912" s="36"/>
      <c r="K912" s="26"/>
      <c r="P912" s="33"/>
    </row>
    <row r="913">
      <c r="A913" s="35"/>
      <c r="B913" s="35"/>
      <c r="D913" s="36"/>
      <c r="K913" s="26"/>
      <c r="P913" s="33"/>
    </row>
    <row r="914">
      <c r="A914" s="35"/>
      <c r="B914" s="35"/>
      <c r="D914" s="36"/>
      <c r="K914" s="26"/>
      <c r="P914" s="33"/>
    </row>
    <row r="915">
      <c r="A915" s="35"/>
      <c r="B915" s="35"/>
      <c r="D915" s="36"/>
      <c r="K915" s="26"/>
      <c r="P915" s="33"/>
    </row>
    <row r="916">
      <c r="A916" s="35"/>
      <c r="B916" s="35"/>
      <c r="D916" s="36"/>
      <c r="K916" s="26"/>
      <c r="P916" s="33"/>
    </row>
    <row r="917">
      <c r="A917" s="35"/>
      <c r="B917" s="35"/>
      <c r="D917" s="36"/>
      <c r="K917" s="26"/>
      <c r="P917" s="33"/>
    </row>
    <row r="918">
      <c r="A918" s="35"/>
      <c r="B918" s="35"/>
      <c r="D918" s="36"/>
      <c r="K918" s="26"/>
      <c r="P918" s="33"/>
    </row>
    <row r="919">
      <c r="A919" s="35"/>
      <c r="B919" s="35"/>
      <c r="D919" s="36"/>
      <c r="K919" s="26"/>
      <c r="P919" s="33"/>
    </row>
    <row r="920">
      <c r="A920" s="35"/>
      <c r="B920" s="35"/>
      <c r="D920" s="36"/>
      <c r="K920" s="26"/>
      <c r="P920" s="33"/>
    </row>
    <row r="921">
      <c r="A921" s="35"/>
      <c r="B921" s="35"/>
      <c r="D921" s="36"/>
      <c r="K921" s="26"/>
      <c r="P921" s="33"/>
    </row>
    <row r="922">
      <c r="A922" s="35"/>
      <c r="B922" s="35"/>
      <c r="D922" s="36"/>
      <c r="K922" s="26"/>
      <c r="P922" s="33"/>
    </row>
    <row r="923">
      <c r="A923" s="35"/>
      <c r="B923" s="35"/>
      <c r="D923" s="36"/>
      <c r="K923" s="26"/>
      <c r="P923" s="33"/>
    </row>
    <row r="924">
      <c r="A924" s="35"/>
      <c r="B924" s="35"/>
      <c r="D924" s="36"/>
      <c r="K924" s="26"/>
      <c r="P924" s="33"/>
    </row>
    <row r="925">
      <c r="A925" s="35"/>
      <c r="B925" s="35"/>
      <c r="D925" s="36"/>
      <c r="K925" s="26"/>
      <c r="P925" s="33"/>
    </row>
    <row r="926">
      <c r="A926" s="35"/>
      <c r="B926" s="35"/>
      <c r="D926" s="36"/>
      <c r="K926" s="26"/>
      <c r="P926" s="33"/>
    </row>
    <row r="927">
      <c r="A927" s="35"/>
      <c r="B927" s="35"/>
      <c r="D927" s="36"/>
      <c r="K927" s="26"/>
      <c r="P927" s="33"/>
    </row>
    <row r="928">
      <c r="A928" s="35"/>
      <c r="B928" s="35"/>
      <c r="D928" s="36"/>
      <c r="K928" s="26"/>
      <c r="P928" s="33"/>
    </row>
    <row r="929">
      <c r="A929" s="35"/>
      <c r="B929" s="35"/>
      <c r="D929" s="36"/>
      <c r="K929" s="26"/>
      <c r="P929" s="33"/>
    </row>
    <row r="930">
      <c r="A930" s="35"/>
      <c r="B930" s="35"/>
      <c r="D930" s="36"/>
      <c r="K930" s="26"/>
      <c r="P930" s="33"/>
    </row>
    <row r="931">
      <c r="A931" s="35"/>
      <c r="B931" s="35"/>
      <c r="D931" s="36"/>
      <c r="K931" s="26"/>
      <c r="P931" s="33"/>
    </row>
    <row r="932">
      <c r="A932" s="35"/>
      <c r="B932" s="35"/>
      <c r="D932" s="36"/>
      <c r="K932" s="26"/>
      <c r="P932" s="33"/>
    </row>
    <row r="933">
      <c r="A933" s="35"/>
      <c r="B933" s="35"/>
      <c r="D933" s="36"/>
      <c r="K933" s="26"/>
      <c r="P933" s="33"/>
    </row>
    <row r="934">
      <c r="A934" s="35"/>
      <c r="B934" s="35"/>
      <c r="D934" s="36"/>
      <c r="K934" s="26"/>
      <c r="P934" s="33"/>
    </row>
    <row r="935">
      <c r="A935" s="35"/>
      <c r="B935" s="35"/>
      <c r="D935" s="36"/>
      <c r="K935" s="26"/>
      <c r="P935" s="33"/>
    </row>
    <row r="936">
      <c r="A936" s="35"/>
      <c r="B936" s="35"/>
      <c r="D936" s="36"/>
      <c r="K936" s="26"/>
      <c r="P936" s="33"/>
    </row>
    <row r="937">
      <c r="A937" s="35"/>
      <c r="B937" s="35"/>
      <c r="D937" s="36"/>
      <c r="K937" s="26"/>
      <c r="P937" s="33"/>
    </row>
    <row r="938">
      <c r="A938" s="35"/>
      <c r="B938" s="35"/>
      <c r="D938" s="36"/>
      <c r="K938" s="26"/>
      <c r="P938" s="33"/>
    </row>
    <row r="939">
      <c r="A939" s="35"/>
      <c r="B939" s="35"/>
      <c r="D939" s="36"/>
      <c r="K939" s="26"/>
      <c r="P939" s="33"/>
    </row>
    <row r="940">
      <c r="A940" s="35"/>
      <c r="B940" s="35"/>
      <c r="D940" s="36"/>
      <c r="K940" s="26"/>
      <c r="P940" s="33"/>
    </row>
    <row r="941">
      <c r="A941" s="35"/>
      <c r="B941" s="35"/>
      <c r="D941" s="36"/>
      <c r="K941" s="26"/>
      <c r="P941" s="33"/>
    </row>
    <row r="942">
      <c r="A942" s="35"/>
      <c r="B942" s="35"/>
      <c r="D942" s="36"/>
      <c r="K942" s="26"/>
      <c r="P942" s="33"/>
    </row>
    <row r="943">
      <c r="A943" s="35"/>
      <c r="B943" s="35"/>
      <c r="D943" s="36"/>
      <c r="K943" s="26"/>
      <c r="P943" s="33"/>
    </row>
    <row r="944">
      <c r="A944" s="35"/>
      <c r="B944" s="35"/>
      <c r="D944" s="36"/>
      <c r="K944" s="26"/>
      <c r="P944" s="33"/>
    </row>
    <row r="945">
      <c r="A945" s="35"/>
      <c r="B945" s="35"/>
      <c r="D945" s="36"/>
      <c r="K945" s="26"/>
      <c r="P945" s="33"/>
    </row>
    <row r="946">
      <c r="A946" s="35"/>
      <c r="B946" s="35"/>
      <c r="D946" s="36"/>
      <c r="K946" s="26"/>
      <c r="P946" s="33"/>
    </row>
    <row r="947">
      <c r="A947" s="35"/>
      <c r="B947" s="35"/>
      <c r="D947" s="36"/>
      <c r="K947" s="26"/>
      <c r="P947" s="33"/>
    </row>
    <row r="948">
      <c r="A948" s="35"/>
      <c r="B948" s="35"/>
      <c r="D948" s="36"/>
      <c r="K948" s="26"/>
      <c r="P948" s="33"/>
    </row>
    <row r="949">
      <c r="A949" s="35"/>
      <c r="B949" s="35"/>
      <c r="D949" s="36"/>
      <c r="K949" s="26"/>
      <c r="P949" s="33"/>
    </row>
    <row r="950">
      <c r="A950" s="35"/>
      <c r="B950" s="35"/>
      <c r="D950" s="36"/>
      <c r="K950" s="26"/>
      <c r="P950" s="33"/>
    </row>
    <row r="951">
      <c r="A951" s="35"/>
      <c r="B951" s="35"/>
      <c r="D951" s="36"/>
      <c r="K951" s="26"/>
      <c r="P951" s="33"/>
    </row>
    <row r="952">
      <c r="A952" s="35"/>
      <c r="B952" s="35"/>
      <c r="D952" s="36"/>
      <c r="K952" s="26"/>
      <c r="P952" s="33"/>
    </row>
    <row r="953">
      <c r="A953" s="35"/>
      <c r="B953" s="35"/>
      <c r="D953" s="36"/>
      <c r="K953" s="26"/>
      <c r="P953" s="33"/>
    </row>
    <row r="954">
      <c r="A954" s="35"/>
      <c r="B954" s="35"/>
      <c r="D954" s="36"/>
      <c r="K954" s="26"/>
      <c r="P954" s="33"/>
    </row>
    <row r="955">
      <c r="A955" s="35"/>
      <c r="B955" s="35"/>
      <c r="D955" s="36"/>
      <c r="K955" s="26"/>
      <c r="P955" s="33"/>
    </row>
    <row r="956">
      <c r="A956" s="35"/>
      <c r="B956" s="35"/>
      <c r="D956" s="36"/>
      <c r="K956" s="26"/>
      <c r="P956" s="33"/>
    </row>
    <row r="957">
      <c r="A957" s="35"/>
      <c r="B957" s="35"/>
      <c r="D957" s="36"/>
      <c r="K957" s="26"/>
      <c r="P957" s="33"/>
    </row>
    <row r="958">
      <c r="A958" s="35"/>
      <c r="B958" s="35"/>
      <c r="D958" s="36"/>
      <c r="K958" s="26"/>
      <c r="P958" s="33"/>
    </row>
    <row r="959">
      <c r="A959" s="35"/>
      <c r="B959" s="35"/>
      <c r="D959" s="36"/>
      <c r="K959" s="26"/>
      <c r="P959" s="33"/>
    </row>
    <row r="960">
      <c r="A960" s="35"/>
      <c r="B960" s="35"/>
      <c r="D960" s="36"/>
      <c r="K960" s="26"/>
      <c r="P960" s="33"/>
    </row>
    <row r="961">
      <c r="A961" s="35"/>
      <c r="B961" s="35"/>
      <c r="D961" s="36"/>
      <c r="K961" s="26"/>
      <c r="P961" s="33"/>
    </row>
    <row r="962">
      <c r="A962" s="35"/>
      <c r="B962" s="35"/>
      <c r="D962" s="36"/>
      <c r="K962" s="26"/>
      <c r="P962" s="33"/>
    </row>
    <row r="963">
      <c r="A963" s="35"/>
      <c r="B963" s="35"/>
      <c r="D963" s="36"/>
      <c r="K963" s="26"/>
      <c r="P963" s="33"/>
    </row>
    <row r="964">
      <c r="A964" s="35"/>
      <c r="B964" s="35"/>
      <c r="D964" s="36"/>
      <c r="K964" s="26"/>
      <c r="P964" s="33"/>
    </row>
    <row r="965">
      <c r="A965" s="35"/>
      <c r="B965" s="35"/>
      <c r="D965" s="36"/>
      <c r="K965" s="26"/>
      <c r="P965" s="33"/>
    </row>
    <row r="966">
      <c r="A966" s="35"/>
      <c r="B966" s="35"/>
      <c r="D966" s="36"/>
      <c r="K966" s="26"/>
      <c r="P966" s="33"/>
    </row>
    <row r="967">
      <c r="A967" s="35"/>
      <c r="B967" s="35"/>
      <c r="D967" s="36"/>
      <c r="K967" s="26"/>
      <c r="P967" s="33"/>
    </row>
    <row r="968">
      <c r="A968" s="35"/>
      <c r="B968" s="35"/>
      <c r="D968" s="36"/>
      <c r="K968" s="26"/>
      <c r="P968" s="33"/>
    </row>
    <row r="969">
      <c r="A969" s="35"/>
      <c r="B969" s="35"/>
      <c r="D969" s="36"/>
      <c r="K969" s="26"/>
      <c r="P969" s="33"/>
    </row>
    <row r="970">
      <c r="A970" s="35"/>
      <c r="B970" s="35"/>
      <c r="D970" s="36"/>
      <c r="K970" s="26"/>
      <c r="P970" s="33"/>
    </row>
    <row r="971">
      <c r="A971" s="35"/>
      <c r="B971" s="35"/>
      <c r="D971" s="36"/>
      <c r="K971" s="26"/>
      <c r="P971" s="33"/>
    </row>
    <row r="972">
      <c r="A972" s="35"/>
      <c r="B972" s="35"/>
      <c r="D972" s="36"/>
      <c r="K972" s="26"/>
      <c r="P972" s="33"/>
    </row>
    <row r="973">
      <c r="A973" s="35"/>
      <c r="B973" s="35"/>
      <c r="D973" s="36"/>
      <c r="K973" s="26"/>
      <c r="P973" s="33"/>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s>
  <drawing r:id="rId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7.5"/>
    <col customWidth="1" min="3" max="3" width="10.13"/>
    <col customWidth="1" min="4" max="4" width="20.5"/>
    <col customWidth="1" min="5" max="5" width="9.38"/>
    <col customWidth="1" min="6" max="6" width="12.13"/>
    <col customWidth="1" min="7" max="7" width="65.88"/>
    <col customWidth="1" min="8" max="8" width="64.88"/>
    <col customWidth="1" min="9" max="9" width="35.75"/>
    <col customWidth="1" min="10" max="10" width="20.13"/>
    <col customWidth="1" min="11" max="11" width="13.38"/>
    <col customWidth="1" min="12" max="12" width="13.5"/>
    <col customWidth="1" min="13" max="13" width="17.63"/>
    <col customWidth="1" min="14" max="14" width="11.5"/>
    <col customWidth="1" min="15" max="15" width="12.13"/>
    <col customWidth="1" min="16" max="16" width="9.0"/>
    <col customWidth="1" min="17" max="17" width="12.88"/>
  </cols>
  <sheetData>
    <row r="1">
      <c r="A1" s="37" t="s">
        <v>0</v>
      </c>
      <c r="B1" s="28" t="s">
        <v>1</v>
      </c>
      <c r="C1" s="1" t="s">
        <v>275</v>
      </c>
      <c r="D1" s="1" t="s">
        <v>2</v>
      </c>
      <c r="E1" s="1" t="s">
        <v>7</v>
      </c>
      <c r="F1" s="1" t="s">
        <v>400</v>
      </c>
      <c r="G1" s="1" t="s">
        <v>10</v>
      </c>
      <c r="H1" s="38" t="s">
        <v>11</v>
      </c>
      <c r="I1" s="37" t="s">
        <v>9</v>
      </c>
      <c r="J1" s="1" t="s">
        <v>401</v>
      </c>
      <c r="K1" s="1" t="s">
        <v>13</v>
      </c>
      <c r="L1" s="1" t="s">
        <v>14</v>
      </c>
      <c r="M1" s="6" t="s">
        <v>15</v>
      </c>
      <c r="N1" s="1" t="s">
        <v>402</v>
      </c>
      <c r="O1" s="1" t="s">
        <v>17</v>
      </c>
      <c r="P1" s="1" t="s">
        <v>18</v>
      </c>
      <c r="Q1" s="1" t="s">
        <v>403</v>
      </c>
      <c r="R1" s="1" t="s">
        <v>277</v>
      </c>
      <c r="S1" s="7"/>
      <c r="T1" s="7"/>
      <c r="U1" s="7"/>
      <c r="V1" s="7"/>
      <c r="W1" s="7"/>
      <c r="X1" s="7"/>
      <c r="Y1" s="7"/>
      <c r="Z1" s="7"/>
      <c r="AA1" s="7"/>
      <c r="AB1" s="7"/>
      <c r="AC1" s="7"/>
      <c r="AD1" s="7"/>
      <c r="AE1" s="7"/>
    </row>
    <row r="2">
      <c r="A2" s="39" t="str">
        <f t="shared" ref="A2:A29" si="1">"Q"&amp;INT((MONTH(B2)+2)/3)</f>
        <v>Q1</v>
      </c>
      <c r="B2" s="8">
        <f t="shared" ref="B2:B29" si="2">VALUE(LEFT(D2,10))</f>
        <v>45348</v>
      </c>
      <c r="C2" s="10" t="s">
        <v>278</v>
      </c>
      <c r="D2" s="10" t="s">
        <v>105</v>
      </c>
      <c r="E2" s="10" t="s">
        <v>23</v>
      </c>
      <c r="F2" s="10">
        <v>1.0</v>
      </c>
      <c r="G2" s="10" t="s">
        <v>107</v>
      </c>
      <c r="H2" s="40" t="s">
        <v>404</v>
      </c>
      <c r="I2" s="41" t="s">
        <v>106</v>
      </c>
      <c r="J2" s="10">
        <v>9237.0</v>
      </c>
      <c r="K2" s="10">
        <v>9237.0</v>
      </c>
      <c r="L2" s="10">
        <f t="shared" ref="L2:L29" si="3">N2+O2+P2</f>
        <v>35</v>
      </c>
      <c r="M2" s="14">
        <f t="shared" ref="M2:M29" si="4">L2/J2</f>
        <v>0.003789109018</v>
      </c>
      <c r="N2" s="10">
        <v>34.0</v>
      </c>
      <c r="O2" s="10">
        <v>0.0</v>
      </c>
      <c r="P2" s="10">
        <v>1.0</v>
      </c>
      <c r="Q2" s="10">
        <v>0.0</v>
      </c>
    </row>
    <row r="3">
      <c r="A3" s="39" t="str">
        <f t="shared" si="1"/>
        <v>Q1</v>
      </c>
      <c r="B3" s="8">
        <f t="shared" si="2"/>
        <v>45349</v>
      </c>
      <c r="C3" s="10" t="s">
        <v>278</v>
      </c>
      <c r="D3" s="10" t="s">
        <v>109</v>
      </c>
      <c r="E3" s="10" t="s">
        <v>23</v>
      </c>
      <c r="F3" s="10">
        <v>2.0</v>
      </c>
      <c r="G3" s="10" t="s">
        <v>405</v>
      </c>
      <c r="H3" s="40" t="s">
        <v>406</v>
      </c>
      <c r="I3" s="41" t="s">
        <v>106</v>
      </c>
      <c r="J3" s="10">
        <v>6040.0</v>
      </c>
      <c r="K3" s="10">
        <v>6040.0</v>
      </c>
      <c r="L3" s="10">
        <f t="shared" si="3"/>
        <v>44</v>
      </c>
      <c r="M3" s="14">
        <f t="shared" si="4"/>
        <v>0.007284768212</v>
      </c>
      <c r="N3" s="10">
        <v>40.0</v>
      </c>
      <c r="O3" s="10">
        <v>2.0</v>
      </c>
      <c r="P3" s="10">
        <v>2.0</v>
      </c>
      <c r="Q3" s="10">
        <v>0.0</v>
      </c>
    </row>
    <row r="4">
      <c r="A4" s="39" t="str">
        <f t="shared" si="1"/>
        <v>Q1</v>
      </c>
      <c r="B4" s="8">
        <f t="shared" si="2"/>
        <v>45351</v>
      </c>
      <c r="C4" s="10" t="s">
        <v>278</v>
      </c>
      <c r="D4" s="10" t="s">
        <v>112</v>
      </c>
      <c r="E4" s="10" t="s">
        <v>23</v>
      </c>
      <c r="F4" s="10">
        <v>3.0</v>
      </c>
      <c r="G4" s="10" t="s">
        <v>407</v>
      </c>
      <c r="H4" s="40" t="s">
        <v>408</v>
      </c>
      <c r="I4" s="41" t="s">
        <v>106</v>
      </c>
      <c r="J4" s="10">
        <v>5387.0</v>
      </c>
      <c r="K4" s="10">
        <v>5387.0</v>
      </c>
      <c r="L4" s="10">
        <f t="shared" si="3"/>
        <v>43</v>
      </c>
      <c r="M4" s="14">
        <f t="shared" si="4"/>
        <v>0.007982179321</v>
      </c>
      <c r="N4" s="10">
        <v>39.0</v>
      </c>
      <c r="O4" s="10">
        <v>2.0</v>
      </c>
      <c r="P4" s="10">
        <v>2.0</v>
      </c>
      <c r="Q4" s="10">
        <v>0.0</v>
      </c>
    </row>
    <row r="5">
      <c r="A5" s="39" t="str">
        <f t="shared" si="1"/>
        <v>Q1</v>
      </c>
      <c r="B5" s="8">
        <f t="shared" si="2"/>
        <v>45356</v>
      </c>
      <c r="C5" s="10" t="s">
        <v>278</v>
      </c>
      <c r="D5" s="10" t="s">
        <v>409</v>
      </c>
      <c r="E5" s="10" t="s">
        <v>23</v>
      </c>
      <c r="F5" s="10">
        <v>4.0</v>
      </c>
      <c r="G5" s="10" t="s">
        <v>410</v>
      </c>
      <c r="H5" s="40" t="s">
        <v>411</v>
      </c>
      <c r="I5" s="41" t="s">
        <v>120</v>
      </c>
      <c r="J5" s="10">
        <v>5063.0</v>
      </c>
      <c r="K5" s="10">
        <v>5063.0</v>
      </c>
      <c r="L5" s="10">
        <f t="shared" si="3"/>
        <v>20</v>
      </c>
      <c r="M5" s="14">
        <f t="shared" si="4"/>
        <v>0.003950227138</v>
      </c>
      <c r="N5" s="10">
        <v>20.0</v>
      </c>
      <c r="O5" s="10">
        <v>0.0</v>
      </c>
      <c r="P5" s="10">
        <v>0.0</v>
      </c>
      <c r="Q5" s="10">
        <v>0.0</v>
      </c>
    </row>
    <row r="6">
      <c r="A6" s="39" t="str">
        <f t="shared" si="1"/>
        <v>Q1</v>
      </c>
      <c r="B6" s="8">
        <f t="shared" si="2"/>
        <v>45357</v>
      </c>
      <c r="C6" s="10" t="s">
        <v>278</v>
      </c>
      <c r="D6" s="10" t="s">
        <v>412</v>
      </c>
      <c r="E6" s="10" t="s">
        <v>23</v>
      </c>
      <c r="F6" s="10">
        <v>5.0</v>
      </c>
      <c r="G6" s="10" t="s">
        <v>413</v>
      </c>
      <c r="H6" s="40" t="s">
        <v>414</v>
      </c>
      <c r="I6" s="41" t="s">
        <v>120</v>
      </c>
      <c r="J6" s="10">
        <v>5345.0</v>
      </c>
      <c r="K6" s="10">
        <v>5345.0</v>
      </c>
      <c r="L6" s="10">
        <f t="shared" si="3"/>
        <v>38</v>
      </c>
      <c r="M6" s="14">
        <f t="shared" si="4"/>
        <v>0.007109448082</v>
      </c>
      <c r="N6" s="10">
        <v>33.0</v>
      </c>
      <c r="O6" s="10">
        <v>0.0</v>
      </c>
      <c r="P6" s="10">
        <v>5.0</v>
      </c>
      <c r="Q6" s="10">
        <v>0.0</v>
      </c>
    </row>
    <row r="7">
      <c r="A7" s="39" t="str">
        <f t="shared" si="1"/>
        <v>Q1</v>
      </c>
      <c r="B7" s="8">
        <f t="shared" si="2"/>
        <v>45358</v>
      </c>
      <c r="C7" s="10" t="s">
        <v>278</v>
      </c>
      <c r="D7" s="10" t="s">
        <v>126</v>
      </c>
      <c r="E7" s="10" t="s">
        <v>23</v>
      </c>
      <c r="F7" s="10">
        <v>6.0</v>
      </c>
      <c r="G7" s="10" t="s">
        <v>415</v>
      </c>
      <c r="H7" s="40" t="s">
        <v>416</v>
      </c>
      <c r="I7" s="41" t="s">
        <v>120</v>
      </c>
      <c r="J7" s="10">
        <v>5529.0</v>
      </c>
      <c r="K7" s="10">
        <v>5529.0</v>
      </c>
      <c r="L7" s="10">
        <f t="shared" si="3"/>
        <v>28</v>
      </c>
      <c r="M7" s="14">
        <f t="shared" si="4"/>
        <v>0.005064206909</v>
      </c>
      <c r="N7" s="10">
        <v>23.0</v>
      </c>
      <c r="O7" s="10">
        <v>1.0</v>
      </c>
      <c r="P7" s="10">
        <v>4.0</v>
      </c>
      <c r="Q7" s="10">
        <v>0.0</v>
      </c>
    </row>
    <row r="8">
      <c r="A8" s="39" t="str">
        <f t="shared" si="1"/>
        <v>Q1</v>
      </c>
      <c r="B8" s="8">
        <f t="shared" si="2"/>
        <v>45362</v>
      </c>
      <c r="C8" s="10" t="s">
        <v>278</v>
      </c>
      <c r="D8" s="10" t="s">
        <v>133</v>
      </c>
      <c r="E8" s="10" t="s">
        <v>23</v>
      </c>
      <c r="F8" s="10">
        <v>7.0</v>
      </c>
      <c r="G8" s="10" t="s">
        <v>417</v>
      </c>
      <c r="H8" s="40" t="s">
        <v>418</v>
      </c>
      <c r="I8" s="41" t="s">
        <v>120</v>
      </c>
      <c r="J8" s="10">
        <v>5848.0</v>
      </c>
      <c r="K8" s="10">
        <v>5848.0</v>
      </c>
      <c r="L8" s="10">
        <f t="shared" si="3"/>
        <v>24</v>
      </c>
      <c r="M8" s="14">
        <f t="shared" si="4"/>
        <v>0.004103967168</v>
      </c>
      <c r="N8" s="10">
        <v>23.0</v>
      </c>
      <c r="O8" s="10">
        <v>0.0</v>
      </c>
      <c r="P8" s="10">
        <v>1.0</v>
      </c>
      <c r="Q8" s="10">
        <v>0.0</v>
      </c>
      <c r="U8" s="27"/>
    </row>
    <row r="9">
      <c r="A9" s="39" t="str">
        <f t="shared" si="1"/>
        <v>Q1</v>
      </c>
      <c r="B9" s="8">
        <f t="shared" si="2"/>
        <v>45364</v>
      </c>
      <c r="C9" s="10" t="s">
        <v>278</v>
      </c>
      <c r="D9" s="10" t="s">
        <v>419</v>
      </c>
      <c r="E9" s="10" t="s">
        <v>23</v>
      </c>
      <c r="F9" s="10">
        <v>8.0</v>
      </c>
      <c r="G9" s="10" t="s">
        <v>420</v>
      </c>
      <c r="H9" s="40" t="s">
        <v>421</v>
      </c>
      <c r="I9" s="41" t="s">
        <v>120</v>
      </c>
      <c r="J9" s="10">
        <v>5958.0</v>
      </c>
      <c r="K9" s="10">
        <v>5958.0</v>
      </c>
      <c r="L9" s="10">
        <f t="shared" si="3"/>
        <v>29</v>
      </c>
      <c r="M9" s="14">
        <f t="shared" si="4"/>
        <v>0.00486740517</v>
      </c>
      <c r="N9" s="10">
        <v>25.0</v>
      </c>
      <c r="O9" s="10">
        <v>3.0</v>
      </c>
      <c r="P9" s="10">
        <v>1.0</v>
      </c>
      <c r="Q9" s="10">
        <v>0.0</v>
      </c>
      <c r="U9" s="27"/>
    </row>
    <row r="10">
      <c r="A10" s="39" t="str">
        <f t="shared" si="1"/>
        <v>Q1</v>
      </c>
      <c r="B10" s="8">
        <f t="shared" si="2"/>
        <v>45377</v>
      </c>
      <c r="C10" s="10" t="s">
        <v>278</v>
      </c>
      <c r="D10" s="10" t="s">
        <v>161</v>
      </c>
      <c r="E10" s="10" t="s">
        <v>23</v>
      </c>
      <c r="F10" s="10">
        <v>9.0</v>
      </c>
      <c r="G10" s="10" t="s">
        <v>422</v>
      </c>
      <c r="H10" s="40" t="s">
        <v>423</v>
      </c>
      <c r="I10" s="41" t="s">
        <v>162</v>
      </c>
      <c r="J10" s="10">
        <v>5904.0</v>
      </c>
      <c r="K10" s="10">
        <v>5904.0</v>
      </c>
      <c r="L10" s="10">
        <f t="shared" si="3"/>
        <v>26</v>
      </c>
      <c r="M10" s="14">
        <f t="shared" si="4"/>
        <v>0.004403794038</v>
      </c>
      <c r="N10" s="10">
        <v>26.0</v>
      </c>
      <c r="O10" s="10">
        <v>0.0</v>
      </c>
      <c r="P10" s="10">
        <v>0.0</v>
      </c>
      <c r="Q10" s="10">
        <v>0.0</v>
      </c>
    </row>
    <row r="11">
      <c r="A11" s="39" t="str">
        <f t="shared" si="1"/>
        <v>Q1</v>
      </c>
      <c r="B11" s="8">
        <f t="shared" si="2"/>
        <v>45378</v>
      </c>
      <c r="C11" s="10" t="s">
        <v>278</v>
      </c>
      <c r="D11" s="10" t="s">
        <v>165</v>
      </c>
      <c r="E11" s="10" t="s">
        <v>23</v>
      </c>
      <c r="F11" s="10">
        <v>10.0</v>
      </c>
      <c r="G11" s="10" t="s">
        <v>424</v>
      </c>
      <c r="H11" s="40" t="s">
        <v>425</v>
      </c>
      <c r="I11" s="41" t="s">
        <v>162</v>
      </c>
      <c r="J11" s="10">
        <v>5773.0</v>
      </c>
      <c r="K11" s="10">
        <v>7068.0</v>
      </c>
      <c r="L11" s="10">
        <f t="shared" si="3"/>
        <v>35</v>
      </c>
      <c r="M11" s="14">
        <f t="shared" si="4"/>
        <v>0.006062705699</v>
      </c>
      <c r="N11" s="10">
        <v>32.0</v>
      </c>
      <c r="O11" s="10">
        <v>1.0</v>
      </c>
      <c r="P11" s="10">
        <v>2.0</v>
      </c>
      <c r="Q11" s="10">
        <v>4.0</v>
      </c>
    </row>
    <row r="12">
      <c r="A12" s="39" t="str">
        <f t="shared" si="1"/>
        <v>Q1</v>
      </c>
      <c r="B12" s="8">
        <f t="shared" si="2"/>
        <v>45379</v>
      </c>
      <c r="C12" s="10" t="s">
        <v>278</v>
      </c>
      <c r="D12" s="10" t="s">
        <v>426</v>
      </c>
      <c r="E12" s="10" t="s">
        <v>23</v>
      </c>
      <c r="F12" s="10">
        <v>11.0</v>
      </c>
      <c r="G12" s="10" t="s">
        <v>427</v>
      </c>
      <c r="H12" s="40" t="s">
        <v>428</v>
      </c>
      <c r="I12" s="41" t="s">
        <v>429</v>
      </c>
      <c r="J12" s="10">
        <v>7089.0</v>
      </c>
      <c r="K12" s="10">
        <v>7089.0</v>
      </c>
      <c r="L12" s="10">
        <f t="shared" si="3"/>
        <v>12</v>
      </c>
      <c r="M12" s="14">
        <f t="shared" si="4"/>
        <v>0.001692763436</v>
      </c>
      <c r="N12" s="10">
        <v>12.0</v>
      </c>
      <c r="O12" s="10">
        <v>0.0</v>
      </c>
      <c r="P12" s="10">
        <v>0.0</v>
      </c>
      <c r="Q12" s="10">
        <v>0.0</v>
      </c>
    </row>
    <row r="13">
      <c r="A13" s="39" t="str">
        <f t="shared" si="1"/>
        <v>Q1</v>
      </c>
      <c r="B13" s="8">
        <f t="shared" si="2"/>
        <v>45380</v>
      </c>
      <c r="C13" s="10" t="s">
        <v>278</v>
      </c>
      <c r="D13" s="10" t="s">
        <v>430</v>
      </c>
      <c r="E13" s="10" t="s">
        <v>23</v>
      </c>
      <c r="F13" s="10">
        <v>12.0</v>
      </c>
      <c r="G13" s="10" t="s">
        <v>431</v>
      </c>
      <c r="H13" s="40" t="s">
        <v>432</v>
      </c>
      <c r="I13" s="41" t="s">
        <v>162</v>
      </c>
      <c r="J13" s="10">
        <v>5595.0</v>
      </c>
      <c r="K13" s="10">
        <v>5595.0</v>
      </c>
      <c r="L13" s="10">
        <f t="shared" si="3"/>
        <v>23</v>
      </c>
      <c r="M13" s="14">
        <f t="shared" si="4"/>
        <v>0.004110813226</v>
      </c>
      <c r="N13" s="10">
        <v>22.0</v>
      </c>
      <c r="O13" s="10">
        <v>0.0</v>
      </c>
      <c r="P13" s="10">
        <v>1.0</v>
      </c>
      <c r="Q13" s="10">
        <v>0.0</v>
      </c>
    </row>
    <row r="14">
      <c r="A14" s="39" t="str">
        <f t="shared" si="1"/>
        <v>Q2</v>
      </c>
      <c r="B14" s="8">
        <f t="shared" si="2"/>
        <v>45384</v>
      </c>
      <c r="C14" s="10" t="s">
        <v>278</v>
      </c>
      <c r="D14" s="10" t="s">
        <v>433</v>
      </c>
      <c r="E14" s="10" t="s">
        <v>23</v>
      </c>
      <c r="F14" s="10">
        <v>13.0</v>
      </c>
      <c r="G14" s="10" t="s">
        <v>434</v>
      </c>
      <c r="H14" s="40" t="s">
        <v>435</v>
      </c>
      <c r="I14" s="41" t="s">
        <v>436</v>
      </c>
      <c r="J14" s="10">
        <v>5497.0</v>
      </c>
      <c r="K14" s="10">
        <v>5497.0</v>
      </c>
      <c r="L14" s="10">
        <f t="shared" si="3"/>
        <v>24</v>
      </c>
      <c r="M14" s="14">
        <f t="shared" si="4"/>
        <v>0.004366017828</v>
      </c>
      <c r="N14" s="10">
        <v>21.0</v>
      </c>
      <c r="O14" s="10">
        <v>1.0</v>
      </c>
      <c r="P14" s="10">
        <v>2.0</v>
      </c>
      <c r="Q14" s="10">
        <v>0.0</v>
      </c>
    </row>
    <row r="15">
      <c r="A15" s="39" t="str">
        <f t="shared" si="1"/>
        <v>Q2</v>
      </c>
      <c r="B15" s="8">
        <f t="shared" si="2"/>
        <v>45387</v>
      </c>
      <c r="C15" s="10" t="s">
        <v>278</v>
      </c>
      <c r="D15" s="10" t="s">
        <v>177</v>
      </c>
      <c r="E15" s="10" t="s">
        <v>23</v>
      </c>
      <c r="F15" s="10">
        <v>14.0</v>
      </c>
      <c r="G15" s="10" t="s">
        <v>437</v>
      </c>
      <c r="H15" s="40" t="s">
        <v>438</v>
      </c>
      <c r="I15" s="41" t="s">
        <v>162</v>
      </c>
      <c r="J15" s="10">
        <v>5768.0</v>
      </c>
      <c r="K15" s="10">
        <v>5768.0</v>
      </c>
      <c r="L15" s="10">
        <f t="shared" si="3"/>
        <v>28</v>
      </c>
      <c r="M15" s="14">
        <f t="shared" si="4"/>
        <v>0.004854368932</v>
      </c>
      <c r="N15" s="10">
        <v>28.0</v>
      </c>
      <c r="O15" s="10">
        <v>0.0</v>
      </c>
      <c r="P15" s="10">
        <v>0.0</v>
      </c>
      <c r="Q15" s="10">
        <v>0.0</v>
      </c>
    </row>
    <row r="16">
      <c r="A16" s="39" t="str">
        <f t="shared" si="1"/>
        <v>Q2</v>
      </c>
      <c r="B16" s="8">
        <f t="shared" si="2"/>
        <v>45398</v>
      </c>
      <c r="C16" s="10" t="s">
        <v>278</v>
      </c>
      <c r="D16" s="10" t="s">
        <v>439</v>
      </c>
      <c r="E16" s="10" t="s">
        <v>23</v>
      </c>
      <c r="F16" s="10">
        <v>15.0</v>
      </c>
      <c r="G16" s="10" t="s">
        <v>440</v>
      </c>
      <c r="H16" s="40" t="s">
        <v>441</v>
      </c>
      <c r="I16" s="41" t="s">
        <v>442</v>
      </c>
      <c r="J16" s="10">
        <v>7290.0</v>
      </c>
      <c r="K16" s="10">
        <v>7290.0</v>
      </c>
      <c r="L16" s="10">
        <f t="shared" si="3"/>
        <v>18</v>
      </c>
      <c r="M16" s="14">
        <f t="shared" si="4"/>
        <v>0.002469135802</v>
      </c>
      <c r="N16" s="10">
        <v>18.0</v>
      </c>
      <c r="O16" s="10">
        <v>0.0</v>
      </c>
      <c r="P16" s="10">
        <v>0.0</v>
      </c>
      <c r="Q16" s="10">
        <v>0.0</v>
      </c>
    </row>
    <row r="17">
      <c r="A17" s="39" t="str">
        <f t="shared" si="1"/>
        <v>Q2</v>
      </c>
      <c r="B17" s="8">
        <f t="shared" si="2"/>
        <v>45399</v>
      </c>
      <c r="C17" s="10" t="s">
        <v>278</v>
      </c>
      <c r="D17" s="10" t="s">
        <v>443</v>
      </c>
      <c r="E17" s="10" t="s">
        <v>23</v>
      </c>
      <c r="F17" s="10">
        <v>16.0</v>
      </c>
      <c r="G17" s="10" t="s">
        <v>444</v>
      </c>
      <c r="H17" s="40" t="s">
        <v>445</v>
      </c>
      <c r="I17" s="41" t="s">
        <v>181</v>
      </c>
      <c r="J17" s="10">
        <v>5268.0</v>
      </c>
      <c r="K17" s="10">
        <v>3009832.0</v>
      </c>
      <c r="L17" s="10">
        <f t="shared" si="3"/>
        <v>54</v>
      </c>
      <c r="M17" s="14">
        <f t="shared" si="4"/>
        <v>0.01025056948</v>
      </c>
      <c r="N17" s="10">
        <v>49.0</v>
      </c>
      <c r="O17" s="10">
        <v>1.0</v>
      </c>
      <c r="P17" s="10">
        <v>4.0</v>
      </c>
      <c r="Q17" s="10">
        <v>60.0</v>
      </c>
    </row>
    <row r="18">
      <c r="A18" s="39" t="str">
        <f t="shared" si="1"/>
        <v>Q2</v>
      </c>
      <c r="B18" s="8">
        <f t="shared" si="2"/>
        <v>45400</v>
      </c>
      <c r="C18" s="10" t="s">
        <v>278</v>
      </c>
      <c r="D18" s="10" t="s">
        <v>446</v>
      </c>
      <c r="E18" s="10" t="s">
        <v>23</v>
      </c>
      <c r="F18" s="10">
        <v>17.0</v>
      </c>
      <c r="G18" s="10" t="s">
        <v>447</v>
      </c>
      <c r="H18" s="40" t="s">
        <v>448</v>
      </c>
      <c r="I18" s="41" t="s">
        <v>181</v>
      </c>
      <c r="J18" s="10">
        <v>9131.0</v>
      </c>
      <c r="K18" s="10">
        <v>9131.0</v>
      </c>
      <c r="L18" s="10">
        <f t="shared" si="3"/>
        <v>36</v>
      </c>
      <c r="M18" s="14">
        <f t="shared" si="4"/>
        <v>0.003942613076</v>
      </c>
      <c r="N18" s="10">
        <v>32.0</v>
      </c>
      <c r="O18" s="10">
        <v>2.0</v>
      </c>
      <c r="P18" s="10">
        <v>2.0</v>
      </c>
      <c r="Q18" s="10">
        <v>0.0</v>
      </c>
    </row>
    <row r="19">
      <c r="A19" s="39" t="str">
        <f t="shared" si="1"/>
        <v>Q2</v>
      </c>
      <c r="B19" s="8">
        <f t="shared" si="2"/>
        <v>45404</v>
      </c>
      <c r="C19" s="10" t="s">
        <v>278</v>
      </c>
      <c r="D19" s="10" t="s">
        <v>449</v>
      </c>
      <c r="E19" s="10" t="s">
        <v>23</v>
      </c>
      <c r="F19" s="10">
        <v>18.0</v>
      </c>
      <c r="G19" s="10" t="s">
        <v>450</v>
      </c>
      <c r="H19" s="40" t="s">
        <v>451</v>
      </c>
      <c r="I19" s="41" t="s">
        <v>452</v>
      </c>
      <c r="J19" s="10">
        <v>8006.0</v>
      </c>
      <c r="K19" s="10">
        <v>8006.0</v>
      </c>
      <c r="L19" s="10">
        <f t="shared" si="3"/>
        <v>32</v>
      </c>
      <c r="M19" s="14">
        <f t="shared" si="4"/>
        <v>0.003997002248</v>
      </c>
      <c r="N19" s="10">
        <v>28.0</v>
      </c>
      <c r="O19" s="10">
        <v>2.0</v>
      </c>
      <c r="P19" s="10">
        <v>2.0</v>
      </c>
      <c r="Q19" s="10">
        <v>0.0</v>
      </c>
    </row>
    <row r="20">
      <c r="A20" s="39" t="str">
        <f t="shared" si="1"/>
        <v>Q2</v>
      </c>
      <c r="B20" s="8">
        <f t="shared" si="2"/>
        <v>45422</v>
      </c>
      <c r="C20" s="10" t="s">
        <v>278</v>
      </c>
      <c r="D20" s="10" t="s">
        <v>453</v>
      </c>
      <c r="E20" s="10" t="s">
        <v>23</v>
      </c>
      <c r="F20" s="10">
        <v>19.0</v>
      </c>
      <c r="G20" s="10" t="s">
        <v>454</v>
      </c>
      <c r="H20" s="40" t="s">
        <v>455</v>
      </c>
      <c r="I20" s="41" t="s">
        <v>456</v>
      </c>
      <c r="J20" s="10">
        <v>6844.0</v>
      </c>
      <c r="K20" s="10">
        <v>6844.0</v>
      </c>
      <c r="L20" s="10">
        <f t="shared" si="3"/>
        <v>41</v>
      </c>
      <c r="M20" s="14">
        <f t="shared" si="4"/>
        <v>0.005990648743</v>
      </c>
      <c r="N20" s="10">
        <v>39.0</v>
      </c>
      <c r="O20" s="10">
        <v>1.0</v>
      </c>
      <c r="P20" s="10">
        <v>1.0</v>
      </c>
      <c r="Q20" s="10">
        <v>0.0</v>
      </c>
    </row>
    <row r="21">
      <c r="A21" s="39" t="str">
        <f t="shared" si="1"/>
        <v>Q2</v>
      </c>
      <c r="B21" s="8">
        <f t="shared" si="2"/>
        <v>45425</v>
      </c>
      <c r="C21" s="10" t="s">
        <v>278</v>
      </c>
      <c r="D21" s="10" t="s">
        <v>201</v>
      </c>
      <c r="E21" s="10" t="s">
        <v>23</v>
      </c>
      <c r="F21" s="10">
        <v>20.0</v>
      </c>
      <c r="G21" s="10" t="s">
        <v>457</v>
      </c>
      <c r="H21" s="40" t="s">
        <v>458</v>
      </c>
      <c r="I21" s="41" t="s">
        <v>456</v>
      </c>
      <c r="J21" s="10">
        <v>12898.0</v>
      </c>
      <c r="K21" s="10">
        <v>12898.0</v>
      </c>
      <c r="L21" s="10">
        <f t="shared" si="3"/>
        <v>68</v>
      </c>
      <c r="M21" s="14">
        <f t="shared" si="4"/>
        <v>0.005272135215</v>
      </c>
      <c r="N21" s="10">
        <v>57.0</v>
      </c>
      <c r="O21" s="10">
        <v>9.0</v>
      </c>
      <c r="P21" s="10">
        <v>2.0</v>
      </c>
      <c r="Q21" s="10">
        <v>0.0</v>
      </c>
    </row>
    <row r="22">
      <c r="A22" s="39" t="str">
        <f t="shared" si="1"/>
        <v>Q2</v>
      </c>
      <c r="B22" s="8">
        <f t="shared" si="2"/>
        <v>45442</v>
      </c>
      <c r="C22" s="10" t="s">
        <v>278</v>
      </c>
      <c r="D22" s="10" t="s">
        <v>459</v>
      </c>
      <c r="E22" s="10" t="s">
        <v>23</v>
      </c>
      <c r="F22" s="10">
        <v>21.0</v>
      </c>
      <c r="G22" s="10" t="s">
        <v>460</v>
      </c>
      <c r="H22" s="40" t="s">
        <v>461</v>
      </c>
      <c r="I22" s="41" t="s">
        <v>225</v>
      </c>
      <c r="J22" s="10">
        <v>4735.0</v>
      </c>
      <c r="K22" s="10">
        <v>4735.0</v>
      </c>
      <c r="L22" s="10">
        <f t="shared" si="3"/>
        <v>40</v>
      </c>
      <c r="M22" s="14">
        <f t="shared" si="4"/>
        <v>0.008447729673</v>
      </c>
      <c r="N22" s="10">
        <v>35.0</v>
      </c>
      <c r="O22" s="10">
        <v>3.0</v>
      </c>
      <c r="P22" s="10">
        <v>2.0</v>
      </c>
      <c r="Q22" s="10">
        <v>0.0</v>
      </c>
    </row>
    <row r="23">
      <c r="A23" s="39" t="str">
        <f t="shared" si="1"/>
        <v>Q2</v>
      </c>
      <c r="B23" s="8">
        <f t="shared" si="2"/>
        <v>45442</v>
      </c>
      <c r="C23" s="10" t="s">
        <v>278</v>
      </c>
      <c r="D23" s="10" t="s">
        <v>462</v>
      </c>
      <c r="E23" s="10" t="s">
        <v>23</v>
      </c>
      <c r="F23" s="10">
        <v>22.0</v>
      </c>
      <c r="G23" s="10" t="s">
        <v>463</v>
      </c>
      <c r="H23" s="40" t="s">
        <v>464</v>
      </c>
      <c r="I23" s="41" t="s">
        <v>465</v>
      </c>
      <c r="J23" s="10">
        <v>4087.0</v>
      </c>
      <c r="K23" s="10">
        <v>4087.0</v>
      </c>
      <c r="L23" s="10">
        <f t="shared" si="3"/>
        <v>25</v>
      </c>
      <c r="M23" s="14">
        <f t="shared" si="4"/>
        <v>0.006116956203</v>
      </c>
      <c r="N23" s="10">
        <v>24.0</v>
      </c>
      <c r="O23" s="10">
        <v>0.0</v>
      </c>
      <c r="P23" s="10">
        <v>1.0</v>
      </c>
      <c r="Q23" s="10">
        <v>0.0</v>
      </c>
    </row>
    <row r="24">
      <c r="A24" s="39" t="str">
        <f t="shared" si="1"/>
        <v>Q2</v>
      </c>
      <c r="B24" s="8">
        <f t="shared" si="2"/>
        <v>45443</v>
      </c>
      <c r="C24" s="10" t="s">
        <v>278</v>
      </c>
      <c r="D24" s="10" t="s">
        <v>466</v>
      </c>
      <c r="E24" s="10" t="s">
        <v>23</v>
      </c>
      <c r="F24" s="10">
        <v>23.0</v>
      </c>
      <c r="G24" s="10" t="s">
        <v>467</v>
      </c>
      <c r="H24" s="40" t="s">
        <v>468</v>
      </c>
      <c r="I24" s="41" t="s">
        <v>465</v>
      </c>
      <c r="J24" s="10">
        <v>4658.0</v>
      </c>
      <c r="K24" s="10">
        <v>4658.0</v>
      </c>
      <c r="L24" s="10">
        <f t="shared" si="3"/>
        <v>35</v>
      </c>
      <c r="M24" s="14">
        <f t="shared" si="4"/>
        <v>0.007513954487</v>
      </c>
      <c r="N24" s="10">
        <v>28.0</v>
      </c>
      <c r="O24" s="10">
        <v>5.0</v>
      </c>
      <c r="P24" s="10">
        <v>2.0</v>
      </c>
      <c r="Q24" s="10">
        <v>0.0</v>
      </c>
    </row>
    <row r="25">
      <c r="A25" s="39" t="str">
        <f t="shared" si="1"/>
        <v>Q2</v>
      </c>
      <c r="B25" s="8">
        <f t="shared" si="2"/>
        <v>45457</v>
      </c>
      <c r="C25" s="10" t="s">
        <v>278</v>
      </c>
      <c r="D25" s="10" t="s">
        <v>247</v>
      </c>
      <c r="E25" s="10" t="s">
        <v>23</v>
      </c>
      <c r="F25" s="10">
        <v>24.0</v>
      </c>
      <c r="G25" s="10" t="s">
        <v>469</v>
      </c>
      <c r="H25" s="40" t="s">
        <v>470</v>
      </c>
      <c r="I25" s="41" t="s">
        <v>471</v>
      </c>
      <c r="J25" s="10">
        <v>10026.0</v>
      </c>
      <c r="K25" s="10">
        <v>10026.0</v>
      </c>
      <c r="L25" s="10">
        <f t="shared" si="3"/>
        <v>55</v>
      </c>
      <c r="M25" s="14">
        <f t="shared" si="4"/>
        <v>0.005485737084</v>
      </c>
      <c r="N25" s="10">
        <v>51.0</v>
      </c>
      <c r="O25" s="10">
        <v>2.0</v>
      </c>
      <c r="P25" s="10">
        <v>2.0</v>
      </c>
      <c r="Q25" s="10">
        <v>0.0</v>
      </c>
    </row>
    <row r="26">
      <c r="A26" s="39" t="str">
        <f t="shared" si="1"/>
        <v>Q2</v>
      </c>
      <c r="B26" s="8">
        <f t="shared" si="2"/>
        <v>45461</v>
      </c>
      <c r="C26" s="10" t="s">
        <v>278</v>
      </c>
      <c r="D26" s="10" t="s">
        <v>257</v>
      </c>
      <c r="E26" s="10" t="s">
        <v>23</v>
      </c>
      <c r="F26" s="10">
        <v>25.0</v>
      </c>
      <c r="G26" s="10" t="s">
        <v>472</v>
      </c>
      <c r="H26" s="40" t="s">
        <v>473</v>
      </c>
      <c r="I26" s="41" t="s">
        <v>258</v>
      </c>
      <c r="J26" s="10">
        <v>4310.0</v>
      </c>
      <c r="K26" s="10">
        <v>4310.0</v>
      </c>
      <c r="L26" s="10">
        <f t="shared" si="3"/>
        <v>33</v>
      </c>
      <c r="M26" s="14">
        <f t="shared" si="4"/>
        <v>0.007656612529</v>
      </c>
      <c r="N26" s="10">
        <v>31.0</v>
      </c>
      <c r="O26" s="10">
        <v>1.0</v>
      </c>
      <c r="P26" s="10">
        <v>1.0</v>
      </c>
      <c r="Q26" s="10">
        <v>0.0</v>
      </c>
    </row>
    <row r="27">
      <c r="A27" s="39" t="str">
        <f t="shared" si="1"/>
        <v>Q2</v>
      </c>
      <c r="B27" s="8">
        <f t="shared" si="2"/>
        <v>45463</v>
      </c>
      <c r="C27" s="10" t="s">
        <v>278</v>
      </c>
      <c r="D27" s="10" t="s">
        <v>474</v>
      </c>
      <c r="E27" s="10" t="s">
        <v>23</v>
      </c>
      <c r="F27" s="10">
        <v>26.0</v>
      </c>
      <c r="G27" s="10" t="s">
        <v>475</v>
      </c>
      <c r="H27" s="40" t="s">
        <v>476</v>
      </c>
      <c r="I27" s="41" t="s">
        <v>258</v>
      </c>
      <c r="J27" s="10">
        <v>5463.0</v>
      </c>
      <c r="K27" s="10">
        <v>5463.0</v>
      </c>
      <c r="L27" s="10">
        <f t="shared" si="3"/>
        <v>38</v>
      </c>
      <c r="M27" s="14">
        <f t="shared" si="4"/>
        <v>0.006955885045</v>
      </c>
      <c r="N27" s="10">
        <v>33.0</v>
      </c>
      <c r="O27" s="10">
        <v>3.0</v>
      </c>
      <c r="P27" s="10">
        <v>2.0</v>
      </c>
      <c r="Q27" s="10">
        <v>0.0</v>
      </c>
    </row>
    <row r="28">
      <c r="A28" s="39" t="str">
        <f t="shared" si="1"/>
        <v>Q2</v>
      </c>
      <c r="B28" s="8">
        <f t="shared" si="2"/>
        <v>45464</v>
      </c>
      <c r="C28" s="10" t="s">
        <v>278</v>
      </c>
      <c r="D28" s="10" t="s">
        <v>477</v>
      </c>
      <c r="E28" s="10" t="s">
        <v>23</v>
      </c>
      <c r="F28" s="10">
        <v>27.0</v>
      </c>
      <c r="G28" s="10" t="s">
        <v>478</v>
      </c>
      <c r="H28" s="40" t="s">
        <v>479</v>
      </c>
      <c r="I28" s="41" t="s">
        <v>480</v>
      </c>
      <c r="J28" s="10">
        <v>3321.0</v>
      </c>
      <c r="K28" s="10">
        <v>3321.0</v>
      </c>
      <c r="L28" s="10">
        <f t="shared" si="3"/>
        <v>29</v>
      </c>
      <c r="M28" s="14">
        <f t="shared" si="4"/>
        <v>0.008732309545</v>
      </c>
      <c r="N28" s="10">
        <v>24.0</v>
      </c>
      <c r="O28" s="10">
        <v>3.0</v>
      </c>
      <c r="P28" s="10">
        <v>2.0</v>
      </c>
      <c r="Q28" s="10">
        <v>0.0</v>
      </c>
    </row>
    <row r="29">
      <c r="A29" s="39" t="str">
        <f t="shared" si="1"/>
        <v>Q2</v>
      </c>
      <c r="B29" s="8">
        <f t="shared" si="2"/>
        <v>45469</v>
      </c>
      <c r="C29" s="10" t="s">
        <v>278</v>
      </c>
      <c r="D29" s="10" t="s">
        <v>481</v>
      </c>
      <c r="E29" s="10" t="s">
        <v>23</v>
      </c>
      <c r="F29" s="10">
        <v>28.0</v>
      </c>
      <c r="G29" s="10" t="s">
        <v>482</v>
      </c>
      <c r="H29" s="40" t="s">
        <v>483</v>
      </c>
      <c r="I29" s="41" t="s">
        <v>484</v>
      </c>
      <c r="J29" s="10">
        <v>2318.0</v>
      </c>
      <c r="K29" s="10">
        <v>2318.0</v>
      </c>
      <c r="L29" s="10">
        <f t="shared" si="3"/>
        <v>25</v>
      </c>
      <c r="M29" s="14">
        <f t="shared" si="4"/>
        <v>0.01078515962</v>
      </c>
      <c r="N29" s="10">
        <v>22.0</v>
      </c>
      <c r="O29" s="10">
        <v>0.0</v>
      </c>
      <c r="P29" s="10">
        <v>3.0</v>
      </c>
      <c r="Q29" s="10">
        <v>0.0</v>
      </c>
    </row>
    <row r="30">
      <c r="A30" s="42"/>
      <c r="B30" s="35"/>
      <c r="H30" s="43"/>
      <c r="I30" s="44"/>
      <c r="M30" s="26"/>
    </row>
    <row r="31">
      <c r="A31" s="42"/>
      <c r="B31" s="35"/>
      <c r="H31" s="43"/>
      <c r="I31" s="44"/>
      <c r="M31" s="26">
        <f>AVERAGE(M2:M13)</f>
        <v>0.005035115618</v>
      </c>
    </row>
    <row r="32">
      <c r="A32" s="42"/>
      <c r="B32" s="35"/>
      <c r="H32" s="43"/>
      <c r="I32" s="44"/>
      <c r="M32" s="26">
        <f>AVERAGE(M14:M29)</f>
        <v>0.006427302219</v>
      </c>
    </row>
    <row r="33">
      <c r="A33" s="42"/>
      <c r="B33" s="35"/>
      <c r="H33" s="43"/>
      <c r="I33" s="44"/>
      <c r="M33" s="26"/>
    </row>
    <row r="34">
      <c r="A34" s="42"/>
      <c r="B34" s="35"/>
      <c r="H34" s="43"/>
      <c r="I34" s="44"/>
      <c r="M34" s="26"/>
    </row>
    <row r="35">
      <c r="A35" s="42"/>
      <c r="B35" s="35"/>
      <c r="H35" s="43"/>
      <c r="I35" s="44"/>
      <c r="M35" s="26"/>
    </row>
    <row r="36">
      <c r="A36" s="42"/>
      <c r="B36" s="35"/>
      <c r="H36" s="43"/>
      <c r="I36" s="44"/>
      <c r="M36" s="26"/>
    </row>
    <row r="37">
      <c r="A37" s="42"/>
      <c r="B37" s="35"/>
      <c r="H37" s="43"/>
      <c r="I37" s="44"/>
      <c r="M37" s="26"/>
    </row>
    <row r="38">
      <c r="A38" s="42"/>
      <c r="B38" s="35"/>
      <c r="H38" s="43"/>
      <c r="I38" s="44"/>
      <c r="M38" s="26"/>
    </row>
    <row r="39">
      <c r="A39" s="42"/>
      <c r="B39" s="35"/>
      <c r="H39" s="43"/>
      <c r="I39" s="44"/>
      <c r="M39" s="26"/>
    </row>
    <row r="40">
      <c r="A40" s="42"/>
      <c r="B40" s="35"/>
      <c r="H40" s="43"/>
      <c r="I40" s="44"/>
      <c r="M40" s="26"/>
    </row>
    <row r="41">
      <c r="A41" s="42"/>
      <c r="B41" s="35"/>
      <c r="H41" s="43"/>
      <c r="I41" s="44"/>
      <c r="M41" s="26"/>
    </row>
    <row r="42">
      <c r="A42" s="42"/>
      <c r="B42" s="35"/>
      <c r="H42" s="43"/>
      <c r="I42" s="44"/>
      <c r="M42" s="26"/>
    </row>
    <row r="43">
      <c r="A43" s="42"/>
      <c r="B43" s="35"/>
      <c r="H43" s="43"/>
      <c r="I43" s="44"/>
      <c r="M43" s="26"/>
    </row>
    <row r="44">
      <c r="A44" s="42"/>
      <c r="B44" s="35"/>
      <c r="H44" s="43"/>
      <c r="I44" s="44"/>
      <c r="M44" s="26"/>
    </row>
    <row r="45">
      <c r="A45" s="42"/>
      <c r="B45" s="35"/>
      <c r="H45" s="43"/>
      <c r="I45" s="44"/>
      <c r="M45" s="26"/>
    </row>
    <row r="46">
      <c r="A46" s="42"/>
      <c r="B46" s="35"/>
      <c r="H46" s="43"/>
      <c r="I46" s="44"/>
      <c r="M46" s="26"/>
    </row>
    <row r="47">
      <c r="A47" s="42"/>
      <c r="B47" s="35"/>
      <c r="H47" s="43"/>
      <c r="I47" s="44"/>
      <c r="M47" s="26"/>
    </row>
    <row r="48">
      <c r="A48" s="42"/>
      <c r="B48" s="35"/>
      <c r="H48" s="43"/>
      <c r="I48" s="44"/>
      <c r="M48" s="26"/>
    </row>
    <row r="49">
      <c r="A49" s="42"/>
      <c r="B49" s="35"/>
      <c r="H49" s="43"/>
      <c r="I49" s="44"/>
      <c r="M49" s="26"/>
    </row>
    <row r="50">
      <c r="A50" s="42"/>
      <c r="B50" s="35"/>
      <c r="H50" s="43"/>
      <c r="I50" s="44"/>
      <c r="M50" s="26"/>
    </row>
    <row r="51">
      <c r="A51" s="42"/>
      <c r="B51" s="35"/>
      <c r="H51" s="43"/>
      <c r="I51" s="44"/>
      <c r="M51" s="26"/>
    </row>
    <row r="52">
      <c r="A52" s="42"/>
      <c r="B52" s="35"/>
      <c r="H52" s="43"/>
      <c r="I52" s="44"/>
      <c r="M52" s="26"/>
    </row>
    <row r="53">
      <c r="A53" s="42"/>
      <c r="B53" s="35"/>
      <c r="H53" s="43"/>
      <c r="I53" s="44"/>
      <c r="M53" s="26"/>
    </row>
    <row r="54">
      <c r="A54" s="42"/>
      <c r="B54" s="35"/>
      <c r="H54" s="43"/>
      <c r="I54" s="44"/>
      <c r="M54" s="26"/>
    </row>
    <row r="55">
      <c r="A55" s="42"/>
      <c r="B55" s="35"/>
      <c r="H55" s="43"/>
      <c r="I55" s="44"/>
      <c r="M55" s="26"/>
    </row>
    <row r="56">
      <c r="A56" s="42"/>
      <c r="B56" s="35"/>
      <c r="H56" s="43"/>
      <c r="I56" s="44"/>
      <c r="M56" s="26"/>
    </row>
    <row r="57">
      <c r="A57" s="42"/>
      <c r="B57" s="35"/>
      <c r="H57" s="43"/>
      <c r="I57" s="44"/>
      <c r="M57" s="26"/>
    </row>
    <row r="58">
      <c r="A58" s="42"/>
      <c r="B58" s="35"/>
      <c r="H58" s="43"/>
      <c r="I58" s="44"/>
      <c r="M58" s="26"/>
    </row>
    <row r="59">
      <c r="A59" s="42"/>
      <c r="B59" s="35"/>
      <c r="H59" s="43"/>
      <c r="I59" s="44"/>
      <c r="M59" s="26"/>
    </row>
    <row r="60">
      <c r="A60" s="42"/>
      <c r="B60" s="35"/>
      <c r="H60" s="43"/>
      <c r="I60" s="44"/>
      <c r="M60" s="26"/>
    </row>
    <row r="61">
      <c r="A61" s="42"/>
      <c r="B61" s="35"/>
      <c r="H61" s="43"/>
      <c r="I61" s="44"/>
      <c r="M61" s="26"/>
    </row>
    <row r="62">
      <c r="A62" s="42"/>
      <c r="B62" s="35"/>
      <c r="H62" s="43"/>
      <c r="I62" s="44"/>
      <c r="M62" s="26"/>
    </row>
    <row r="63">
      <c r="A63" s="42"/>
      <c r="B63" s="35"/>
      <c r="H63" s="43"/>
      <c r="I63" s="44"/>
      <c r="M63" s="26"/>
    </row>
    <row r="64">
      <c r="A64" s="42"/>
      <c r="B64" s="35"/>
      <c r="H64" s="43"/>
      <c r="I64" s="44"/>
      <c r="M64" s="26"/>
    </row>
    <row r="65">
      <c r="A65" s="42"/>
      <c r="B65" s="35"/>
      <c r="H65" s="43"/>
      <c r="I65" s="44"/>
      <c r="M65" s="26"/>
    </row>
    <row r="66">
      <c r="A66" s="42"/>
      <c r="B66" s="35"/>
      <c r="H66" s="43"/>
      <c r="I66" s="44"/>
      <c r="M66" s="26"/>
    </row>
    <row r="67">
      <c r="A67" s="42"/>
      <c r="B67" s="35"/>
      <c r="H67" s="43"/>
      <c r="I67" s="44"/>
      <c r="M67" s="26"/>
    </row>
    <row r="68">
      <c r="A68" s="42"/>
      <c r="B68" s="35"/>
      <c r="H68" s="43"/>
      <c r="I68" s="44"/>
      <c r="M68" s="26"/>
    </row>
    <row r="69">
      <c r="A69" s="42"/>
      <c r="B69" s="35"/>
      <c r="H69" s="43"/>
      <c r="I69" s="44"/>
      <c r="M69" s="26"/>
    </row>
    <row r="70">
      <c r="A70" s="42"/>
      <c r="B70" s="35"/>
      <c r="H70" s="43"/>
      <c r="I70" s="44"/>
      <c r="M70" s="26"/>
    </row>
    <row r="71">
      <c r="A71" s="42"/>
      <c r="B71" s="35"/>
      <c r="H71" s="43"/>
      <c r="I71" s="44"/>
      <c r="M71" s="26"/>
    </row>
    <row r="72">
      <c r="A72" s="42"/>
      <c r="B72" s="35"/>
      <c r="H72" s="43"/>
      <c r="I72" s="44"/>
      <c r="M72" s="26"/>
    </row>
    <row r="73">
      <c r="A73" s="42"/>
      <c r="B73" s="35"/>
      <c r="H73" s="43"/>
      <c r="I73" s="44"/>
      <c r="M73" s="26"/>
    </row>
    <row r="74">
      <c r="A74" s="42"/>
      <c r="B74" s="35"/>
      <c r="H74" s="43"/>
      <c r="I74" s="44"/>
      <c r="M74" s="26"/>
    </row>
    <row r="75">
      <c r="A75" s="42"/>
      <c r="B75" s="35"/>
      <c r="H75" s="43"/>
      <c r="I75" s="44"/>
      <c r="M75" s="26"/>
    </row>
    <row r="76">
      <c r="A76" s="42"/>
      <c r="B76" s="35"/>
      <c r="H76" s="43"/>
      <c r="I76" s="44"/>
      <c r="M76" s="26"/>
    </row>
    <row r="77">
      <c r="A77" s="42"/>
      <c r="B77" s="35"/>
      <c r="H77" s="43"/>
      <c r="I77" s="44"/>
      <c r="M77" s="26"/>
    </row>
    <row r="78">
      <c r="A78" s="42"/>
      <c r="B78" s="35"/>
      <c r="H78" s="43"/>
      <c r="I78" s="44"/>
      <c r="M78" s="26"/>
    </row>
    <row r="79">
      <c r="A79" s="42"/>
      <c r="B79" s="35"/>
      <c r="H79" s="43"/>
      <c r="I79" s="44"/>
      <c r="M79" s="26"/>
    </row>
    <row r="80">
      <c r="A80" s="42"/>
      <c r="B80" s="35"/>
      <c r="H80" s="43"/>
      <c r="I80" s="44"/>
      <c r="M80" s="26"/>
    </row>
    <row r="81">
      <c r="A81" s="42"/>
      <c r="B81" s="35"/>
      <c r="H81" s="43"/>
      <c r="I81" s="44"/>
      <c r="M81" s="26"/>
    </row>
    <row r="82">
      <c r="A82" s="42"/>
      <c r="B82" s="35"/>
      <c r="H82" s="43"/>
      <c r="I82" s="44"/>
      <c r="M82" s="26"/>
    </row>
    <row r="83">
      <c r="A83" s="42"/>
      <c r="B83" s="35"/>
      <c r="H83" s="43"/>
      <c r="I83" s="44"/>
      <c r="M83" s="26"/>
    </row>
    <row r="84">
      <c r="A84" s="42"/>
      <c r="B84" s="35"/>
      <c r="H84" s="43"/>
      <c r="I84" s="44"/>
      <c r="M84" s="26"/>
    </row>
    <row r="85">
      <c r="A85" s="42"/>
      <c r="B85" s="35"/>
      <c r="H85" s="43"/>
      <c r="I85" s="44"/>
      <c r="M85" s="26"/>
    </row>
    <row r="86">
      <c r="A86" s="42"/>
      <c r="B86" s="35"/>
      <c r="H86" s="43"/>
      <c r="I86" s="44"/>
      <c r="M86" s="26"/>
    </row>
    <row r="87">
      <c r="A87" s="42"/>
      <c r="B87" s="35"/>
      <c r="H87" s="43"/>
      <c r="I87" s="44"/>
      <c r="M87" s="26"/>
    </row>
    <row r="88">
      <c r="A88" s="42"/>
      <c r="B88" s="35"/>
      <c r="H88" s="43"/>
      <c r="I88" s="44"/>
      <c r="M88" s="26"/>
    </row>
    <row r="89">
      <c r="A89" s="42"/>
      <c r="B89" s="35"/>
      <c r="H89" s="43"/>
      <c r="I89" s="44"/>
      <c r="M89" s="26"/>
    </row>
    <row r="90">
      <c r="A90" s="42"/>
      <c r="B90" s="35"/>
      <c r="H90" s="43"/>
      <c r="I90" s="44"/>
      <c r="M90" s="26"/>
    </row>
    <row r="91">
      <c r="A91" s="42"/>
      <c r="B91" s="35"/>
      <c r="H91" s="43"/>
      <c r="I91" s="44"/>
      <c r="M91" s="26"/>
    </row>
    <row r="92">
      <c r="A92" s="42"/>
      <c r="B92" s="35"/>
      <c r="H92" s="43"/>
      <c r="I92" s="44"/>
      <c r="M92" s="26"/>
    </row>
    <row r="93">
      <c r="A93" s="42"/>
      <c r="B93" s="35"/>
      <c r="H93" s="43"/>
      <c r="I93" s="44"/>
      <c r="M93" s="26"/>
    </row>
    <row r="94">
      <c r="A94" s="42"/>
      <c r="B94" s="35"/>
      <c r="H94" s="43"/>
      <c r="I94" s="44"/>
      <c r="M94" s="26"/>
    </row>
    <row r="95">
      <c r="A95" s="42"/>
      <c r="B95" s="35"/>
      <c r="H95" s="43"/>
      <c r="I95" s="44"/>
      <c r="M95" s="26"/>
    </row>
    <row r="96">
      <c r="A96" s="42"/>
      <c r="B96" s="35"/>
      <c r="H96" s="43"/>
      <c r="I96" s="44"/>
      <c r="M96" s="26"/>
    </row>
    <row r="97">
      <c r="A97" s="42"/>
      <c r="B97" s="35"/>
      <c r="H97" s="43"/>
      <c r="I97" s="44"/>
      <c r="M97" s="26"/>
    </row>
    <row r="98">
      <c r="A98" s="42"/>
      <c r="B98" s="35"/>
      <c r="H98" s="43"/>
      <c r="I98" s="44"/>
      <c r="M98" s="26"/>
    </row>
    <row r="99">
      <c r="A99" s="42"/>
      <c r="B99" s="35"/>
      <c r="H99" s="43"/>
      <c r="I99" s="44"/>
      <c r="M99" s="26"/>
    </row>
    <row r="100">
      <c r="A100" s="42"/>
      <c r="B100" s="35"/>
      <c r="H100" s="43"/>
      <c r="I100" s="44"/>
      <c r="M100" s="26"/>
    </row>
    <row r="101">
      <c r="A101" s="42"/>
      <c r="B101" s="35"/>
      <c r="H101" s="43"/>
      <c r="I101" s="44"/>
      <c r="M101" s="26"/>
    </row>
    <row r="102">
      <c r="A102" s="42"/>
      <c r="B102" s="35"/>
      <c r="H102" s="43"/>
      <c r="I102" s="44"/>
      <c r="M102" s="26"/>
    </row>
    <row r="103">
      <c r="A103" s="42"/>
      <c r="B103" s="35"/>
      <c r="H103" s="43"/>
      <c r="I103" s="44"/>
      <c r="M103" s="26"/>
    </row>
    <row r="104">
      <c r="A104" s="42"/>
      <c r="B104" s="35"/>
      <c r="H104" s="43"/>
      <c r="I104" s="44"/>
      <c r="M104" s="26"/>
    </row>
    <row r="105">
      <c r="A105" s="42"/>
      <c r="B105" s="35"/>
      <c r="H105" s="43"/>
      <c r="I105" s="44"/>
      <c r="M105" s="26"/>
    </row>
    <row r="106">
      <c r="A106" s="42"/>
      <c r="B106" s="35"/>
      <c r="H106" s="43"/>
      <c r="I106" s="44"/>
      <c r="M106" s="26"/>
    </row>
    <row r="107">
      <c r="A107" s="42"/>
      <c r="B107" s="35"/>
      <c r="H107" s="43"/>
      <c r="I107" s="44"/>
      <c r="M107" s="26"/>
    </row>
    <row r="108">
      <c r="A108" s="42"/>
      <c r="B108" s="35"/>
      <c r="H108" s="43"/>
      <c r="I108" s="44"/>
      <c r="M108" s="26"/>
    </row>
    <row r="109">
      <c r="A109" s="42"/>
      <c r="B109" s="35"/>
      <c r="H109" s="43"/>
      <c r="I109" s="44"/>
      <c r="M109" s="26"/>
    </row>
    <row r="110">
      <c r="A110" s="42"/>
      <c r="B110" s="35"/>
      <c r="H110" s="43"/>
      <c r="I110" s="44"/>
      <c r="M110" s="26"/>
    </row>
    <row r="111">
      <c r="A111" s="42"/>
      <c r="B111" s="35"/>
      <c r="H111" s="43"/>
      <c r="I111" s="44"/>
      <c r="M111" s="26"/>
    </row>
    <row r="112">
      <c r="A112" s="42"/>
      <c r="B112" s="35"/>
      <c r="H112" s="43"/>
      <c r="I112" s="44"/>
      <c r="M112" s="26"/>
    </row>
    <row r="113">
      <c r="A113" s="42"/>
      <c r="B113" s="35"/>
      <c r="H113" s="43"/>
      <c r="I113" s="44"/>
      <c r="M113" s="26"/>
    </row>
    <row r="114">
      <c r="A114" s="42"/>
      <c r="B114" s="35"/>
      <c r="H114" s="43"/>
      <c r="I114" s="44"/>
      <c r="M114" s="26"/>
    </row>
    <row r="115">
      <c r="A115" s="42"/>
      <c r="B115" s="35"/>
      <c r="H115" s="43"/>
      <c r="I115" s="44"/>
      <c r="M115" s="26"/>
    </row>
    <row r="116">
      <c r="A116" s="42"/>
      <c r="B116" s="35"/>
      <c r="H116" s="43"/>
      <c r="I116" s="44"/>
      <c r="M116" s="26"/>
    </row>
    <row r="117">
      <c r="A117" s="42"/>
      <c r="B117" s="35"/>
      <c r="H117" s="43"/>
      <c r="I117" s="44"/>
      <c r="M117" s="26"/>
    </row>
    <row r="118">
      <c r="A118" s="42"/>
      <c r="B118" s="35"/>
      <c r="H118" s="43"/>
      <c r="I118" s="44"/>
      <c r="M118" s="26"/>
    </row>
    <row r="119">
      <c r="A119" s="42"/>
      <c r="B119" s="35"/>
      <c r="H119" s="43"/>
      <c r="I119" s="44"/>
      <c r="M119" s="26"/>
    </row>
    <row r="120">
      <c r="A120" s="42"/>
      <c r="B120" s="35"/>
      <c r="H120" s="43"/>
      <c r="I120" s="44"/>
      <c r="M120" s="26"/>
    </row>
    <row r="121">
      <c r="A121" s="42"/>
      <c r="B121" s="35"/>
      <c r="H121" s="43"/>
      <c r="I121" s="44"/>
      <c r="M121" s="26"/>
    </row>
    <row r="122">
      <c r="A122" s="42"/>
      <c r="B122" s="35"/>
      <c r="H122" s="43"/>
      <c r="I122" s="44"/>
      <c r="M122" s="26"/>
    </row>
    <row r="123">
      <c r="A123" s="42"/>
      <c r="B123" s="35"/>
      <c r="H123" s="43"/>
      <c r="I123" s="44"/>
      <c r="M123" s="26"/>
    </row>
    <row r="124">
      <c r="A124" s="42"/>
      <c r="B124" s="35"/>
      <c r="H124" s="43"/>
      <c r="I124" s="44"/>
      <c r="M124" s="26"/>
    </row>
    <row r="125">
      <c r="A125" s="42"/>
      <c r="B125" s="35"/>
      <c r="H125" s="43"/>
      <c r="I125" s="44"/>
      <c r="M125" s="26"/>
    </row>
    <row r="126">
      <c r="A126" s="42"/>
      <c r="B126" s="35"/>
      <c r="H126" s="43"/>
      <c r="I126" s="44"/>
      <c r="M126" s="26"/>
    </row>
    <row r="127">
      <c r="A127" s="42"/>
      <c r="B127" s="35"/>
      <c r="H127" s="43"/>
      <c r="I127" s="44"/>
      <c r="M127" s="26"/>
    </row>
    <row r="128">
      <c r="A128" s="42"/>
      <c r="B128" s="35"/>
      <c r="H128" s="43"/>
      <c r="I128" s="44"/>
      <c r="M128" s="26"/>
    </row>
    <row r="129">
      <c r="A129" s="42"/>
      <c r="B129" s="35"/>
      <c r="H129" s="43"/>
      <c r="I129" s="44"/>
      <c r="M129" s="26"/>
    </row>
    <row r="130">
      <c r="A130" s="42"/>
      <c r="B130" s="35"/>
      <c r="H130" s="43"/>
      <c r="I130" s="44"/>
      <c r="M130" s="26"/>
    </row>
    <row r="131">
      <c r="A131" s="42"/>
      <c r="B131" s="35"/>
      <c r="H131" s="43"/>
      <c r="I131" s="44"/>
      <c r="M131" s="26"/>
    </row>
    <row r="132">
      <c r="A132" s="42"/>
      <c r="B132" s="35"/>
      <c r="H132" s="43"/>
      <c r="I132" s="44"/>
      <c r="M132" s="26"/>
    </row>
    <row r="133">
      <c r="A133" s="42"/>
      <c r="B133" s="35"/>
      <c r="H133" s="43"/>
      <c r="I133" s="44"/>
      <c r="M133" s="26"/>
    </row>
    <row r="134">
      <c r="A134" s="42"/>
      <c r="B134" s="35"/>
      <c r="H134" s="43"/>
      <c r="I134" s="44"/>
      <c r="M134" s="26"/>
    </row>
    <row r="135">
      <c r="A135" s="42"/>
      <c r="B135" s="35"/>
      <c r="H135" s="43"/>
      <c r="I135" s="44"/>
      <c r="M135" s="26"/>
    </row>
    <row r="136">
      <c r="A136" s="42"/>
      <c r="B136" s="35"/>
      <c r="H136" s="43"/>
      <c r="I136" s="44"/>
      <c r="M136" s="26"/>
    </row>
    <row r="137">
      <c r="A137" s="42"/>
      <c r="B137" s="35"/>
      <c r="H137" s="43"/>
      <c r="I137" s="44"/>
      <c r="M137" s="26"/>
    </row>
    <row r="138">
      <c r="A138" s="42"/>
      <c r="B138" s="35"/>
      <c r="H138" s="43"/>
      <c r="I138" s="44"/>
      <c r="M138" s="26"/>
    </row>
    <row r="139">
      <c r="A139" s="42"/>
      <c r="B139" s="35"/>
      <c r="H139" s="43"/>
      <c r="I139" s="44"/>
      <c r="M139" s="26"/>
    </row>
    <row r="140">
      <c r="A140" s="42"/>
      <c r="B140" s="35"/>
      <c r="H140" s="43"/>
      <c r="I140" s="44"/>
      <c r="M140" s="26"/>
    </row>
    <row r="141">
      <c r="A141" s="42"/>
      <c r="B141" s="35"/>
      <c r="H141" s="43"/>
      <c r="I141" s="44"/>
      <c r="M141" s="26"/>
    </row>
    <row r="142">
      <c r="A142" s="42"/>
      <c r="B142" s="35"/>
      <c r="H142" s="43"/>
      <c r="I142" s="44"/>
      <c r="M142" s="26"/>
    </row>
    <row r="143">
      <c r="A143" s="42"/>
      <c r="B143" s="35"/>
      <c r="H143" s="43"/>
      <c r="I143" s="44"/>
      <c r="M143" s="26"/>
    </row>
    <row r="144">
      <c r="A144" s="42"/>
      <c r="B144" s="35"/>
      <c r="H144" s="43"/>
      <c r="I144" s="44"/>
      <c r="M144" s="26"/>
    </row>
    <row r="145">
      <c r="A145" s="42"/>
      <c r="B145" s="35"/>
      <c r="H145" s="43"/>
      <c r="I145" s="44"/>
      <c r="M145" s="26"/>
    </row>
    <row r="146">
      <c r="A146" s="42"/>
      <c r="B146" s="35"/>
      <c r="H146" s="43"/>
      <c r="I146" s="44"/>
      <c r="M146" s="26"/>
    </row>
    <row r="147">
      <c r="A147" s="42"/>
      <c r="B147" s="35"/>
      <c r="H147" s="43"/>
      <c r="I147" s="44"/>
      <c r="M147" s="26"/>
    </row>
    <row r="148">
      <c r="A148" s="42"/>
      <c r="B148" s="35"/>
      <c r="H148" s="43"/>
      <c r="I148" s="44"/>
      <c r="M148" s="26"/>
    </row>
    <row r="149">
      <c r="A149" s="42"/>
      <c r="B149" s="35"/>
      <c r="H149" s="43"/>
      <c r="I149" s="44"/>
      <c r="M149" s="26"/>
    </row>
    <row r="150">
      <c r="A150" s="42"/>
      <c r="B150" s="35"/>
      <c r="H150" s="43"/>
      <c r="I150" s="44"/>
      <c r="M150" s="26"/>
    </row>
    <row r="151">
      <c r="A151" s="42"/>
      <c r="B151" s="35"/>
      <c r="H151" s="43"/>
      <c r="I151" s="44"/>
      <c r="M151" s="26"/>
    </row>
    <row r="152">
      <c r="A152" s="42"/>
      <c r="B152" s="35"/>
      <c r="H152" s="43"/>
      <c r="I152" s="44"/>
      <c r="M152" s="26"/>
    </row>
    <row r="153">
      <c r="A153" s="42"/>
      <c r="B153" s="35"/>
      <c r="H153" s="43"/>
      <c r="I153" s="44"/>
      <c r="M153" s="26"/>
    </row>
    <row r="154">
      <c r="A154" s="42"/>
      <c r="B154" s="35"/>
      <c r="H154" s="43"/>
      <c r="I154" s="44"/>
      <c r="M154" s="26"/>
    </row>
    <row r="155">
      <c r="A155" s="42"/>
      <c r="B155" s="35"/>
      <c r="H155" s="43"/>
      <c r="I155" s="44"/>
      <c r="M155" s="26"/>
    </row>
    <row r="156">
      <c r="A156" s="42"/>
      <c r="B156" s="35"/>
      <c r="H156" s="43"/>
      <c r="I156" s="44"/>
      <c r="M156" s="26"/>
    </row>
    <row r="157">
      <c r="A157" s="42"/>
      <c r="B157" s="35"/>
      <c r="H157" s="43"/>
      <c r="I157" s="44"/>
      <c r="M157" s="26"/>
    </row>
    <row r="158">
      <c r="A158" s="42"/>
      <c r="B158" s="35"/>
      <c r="H158" s="43"/>
      <c r="I158" s="44"/>
      <c r="M158" s="26"/>
    </row>
    <row r="159">
      <c r="A159" s="42"/>
      <c r="B159" s="35"/>
      <c r="H159" s="43"/>
      <c r="I159" s="44"/>
      <c r="M159" s="26"/>
    </row>
    <row r="160">
      <c r="A160" s="42"/>
      <c r="B160" s="35"/>
      <c r="H160" s="43"/>
      <c r="I160" s="44"/>
      <c r="M160" s="26"/>
    </row>
    <row r="161">
      <c r="A161" s="42"/>
      <c r="B161" s="35"/>
      <c r="H161" s="43"/>
      <c r="I161" s="44"/>
      <c r="M161" s="26"/>
    </row>
    <row r="162">
      <c r="A162" s="42"/>
      <c r="B162" s="35"/>
      <c r="H162" s="43"/>
      <c r="I162" s="44"/>
      <c r="M162" s="26"/>
    </row>
    <row r="163">
      <c r="A163" s="42"/>
      <c r="B163" s="35"/>
      <c r="H163" s="43"/>
      <c r="I163" s="44"/>
      <c r="M163" s="26"/>
    </row>
    <row r="164">
      <c r="A164" s="42"/>
      <c r="B164" s="35"/>
      <c r="H164" s="43"/>
      <c r="I164" s="44"/>
      <c r="M164" s="26"/>
    </row>
    <row r="165">
      <c r="A165" s="42"/>
      <c r="B165" s="35"/>
      <c r="H165" s="43"/>
      <c r="I165" s="44"/>
      <c r="M165" s="26"/>
    </row>
    <row r="166">
      <c r="A166" s="42"/>
      <c r="B166" s="35"/>
      <c r="H166" s="43"/>
      <c r="I166" s="44"/>
      <c r="M166" s="26"/>
    </row>
    <row r="167">
      <c r="A167" s="42"/>
      <c r="B167" s="35"/>
      <c r="H167" s="43"/>
      <c r="I167" s="44"/>
      <c r="M167" s="26"/>
    </row>
    <row r="168">
      <c r="A168" s="42"/>
      <c r="B168" s="35"/>
      <c r="H168" s="43"/>
      <c r="I168" s="44"/>
      <c r="M168" s="26"/>
    </row>
    <row r="169">
      <c r="A169" s="42"/>
      <c r="B169" s="35"/>
      <c r="H169" s="43"/>
      <c r="I169" s="44"/>
      <c r="M169" s="26"/>
    </row>
    <row r="170">
      <c r="A170" s="42"/>
      <c r="B170" s="35"/>
      <c r="H170" s="43"/>
      <c r="I170" s="44"/>
      <c r="M170" s="26"/>
    </row>
    <row r="171">
      <c r="A171" s="42"/>
      <c r="B171" s="35"/>
      <c r="H171" s="43"/>
      <c r="I171" s="44"/>
      <c r="M171" s="26"/>
    </row>
    <row r="172">
      <c r="A172" s="42"/>
      <c r="B172" s="35"/>
      <c r="H172" s="43"/>
      <c r="I172" s="44"/>
      <c r="M172" s="26"/>
    </row>
    <row r="173">
      <c r="A173" s="42"/>
      <c r="B173" s="35"/>
      <c r="H173" s="43"/>
      <c r="I173" s="44"/>
      <c r="M173" s="26"/>
    </row>
    <row r="174">
      <c r="A174" s="42"/>
      <c r="B174" s="35"/>
      <c r="H174" s="43"/>
      <c r="I174" s="44"/>
      <c r="M174" s="26"/>
    </row>
    <row r="175">
      <c r="A175" s="42"/>
      <c r="B175" s="35"/>
      <c r="H175" s="43"/>
      <c r="I175" s="44"/>
      <c r="M175" s="26"/>
    </row>
    <row r="176">
      <c r="A176" s="42"/>
      <c r="B176" s="35"/>
      <c r="H176" s="43"/>
      <c r="I176" s="44"/>
      <c r="M176" s="26"/>
    </row>
    <row r="177">
      <c r="A177" s="42"/>
      <c r="B177" s="35"/>
      <c r="H177" s="43"/>
      <c r="I177" s="44"/>
      <c r="M177" s="26"/>
    </row>
    <row r="178">
      <c r="A178" s="42"/>
      <c r="B178" s="35"/>
      <c r="H178" s="43"/>
      <c r="I178" s="44"/>
      <c r="M178" s="26"/>
    </row>
    <row r="179">
      <c r="A179" s="42"/>
      <c r="B179" s="35"/>
      <c r="H179" s="43"/>
      <c r="I179" s="44"/>
      <c r="M179" s="26"/>
    </row>
    <row r="180">
      <c r="A180" s="42"/>
      <c r="B180" s="35"/>
      <c r="H180" s="43"/>
      <c r="I180" s="44"/>
      <c r="M180" s="26"/>
    </row>
    <row r="181">
      <c r="A181" s="42"/>
      <c r="B181" s="35"/>
      <c r="H181" s="43"/>
      <c r="I181" s="44"/>
      <c r="M181" s="26"/>
    </row>
    <row r="182">
      <c r="A182" s="42"/>
      <c r="B182" s="35"/>
      <c r="H182" s="43"/>
      <c r="I182" s="44"/>
      <c r="M182" s="26"/>
    </row>
    <row r="183">
      <c r="A183" s="42"/>
      <c r="B183" s="35"/>
      <c r="H183" s="43"/>
      <c r="I183" s="44"/>
      <c r="M183" s="26"/>
    </row>
    <row r="184">
      <c r="A184" s="42"/>
      <c r="B184" s="35"/>
      <c r="H184" s="43"/>
      <c r="I184" s="44"/>
      <c r="M184" s="26"/>
    </row>
    <row r="185">
      <c r="A185" s="42"/>
      <c r="B185" s="35"/>
      <c r="H185" s="43"/>
      <c r="I185" s="44"/>
      <c r="M185" s="26"/>
    </row>
    <row r="186">
      <c r="A186" s="42"/>
      <c r="B186" s="35"/>
      <c r="H186" s="43"/>
      <c r="I186" s="44"/>
      <c r="M186" s="26"/>
    </row>
    <row r="187">
      <c r="A187" s="42"/>
      <c r="B187" s="35"/>
      <c r="H187" s="43"/>
      <c r="I187" s="44"/>
      <c r="M187" s="26"/>
    </row>
    <row r="188">
      <c r="A188" s="42"/>
      <c r="B188" s="35"/>
      <c r="H188" s="43"/>
      <c r="I188" s="44"/>
      <c r="M188" s="26"/>
    </row>
    <row r="189">
      <c r="A189" s="42"/>
      <c r="B189" s="35"/>
      <c r="H189" s="43"/>
      <c r="I189" s="44"/>
      <c r="M189" s="26"/>
    </row>
    <row r="190">
      <c r="A190" s="42"/>
      <c r="B190" s="35"/>
      <c r="H190" s="43"/>
      <c r="I190" s="44"/>
      <c r="M190" s="26"/>
    </row>
    <row r="191">
      <c r="A191" s="42"/>
      <c r="B191" s="35"/>
      <c r="H191" s="43"/>
      <c r="I191" s="44"/>
      <c r="M191" s="26"/>
    </row>
    <row r="192">
      <c r="A192" s="42"/>
      <c r="B192" s="35"/>
      <c r="H192" s="43"/>
      <c r="I192" s="44"/>
      <c r="M192" s="26"/>
    </row>
    <row r="193">
      <c r="A193" s="42"/>
      <c r="B193" s="35"/>
      <c r="H193" s="43"/>
      <c r="I193" s="44"/>
      <c r="M193" s="26"/>
    </row>
    <row r="194">
      <c r="A194" s="42"/>
      <c r="B194" s="35"/>
      <c r="H194" s="43"/>
      <c r="I194" s="44"/>
      <c r="M194" s="26"/>
    </row>
    <row r="195">
      <c r="A195" s="42"/>
      <c r="B195" s="35"/>
      <c r="H195" s="43"/>
      <c r="I195" s="44"/>
      <c r="M195" s="26"/>
    </row>
    <row r="196">
      <c r="A196" s="42"/>
      <c r="B196" s="35"/>
      <c r="H196" s="43"/>
      <c r="I196" s="44"/>
      <c r="M196" s="26"/>
    </row>
    <row r="197">
      <c r="A197" s="42"/>
      <c r="B197" s="35"/>
      <c r="H197" s="43"/>
      <c r="I197" s="44"/>
      <c r="M197" s="26"/>
    </row>
    <row r="198">
      <c r="A198" s="42"/>
      <c r="B198" s="35"/>
      <c r="H198" s="43"/>
      <c r="I198" s="44"/>
      <c r="M198" s="26"/>
    </row>
    <row r="199">
      <c r="A199" s="42"/>
      <c r="B199" s="35"/>
      <c r="H199" s="43"/>
      <c r="I199" s="44"/>
      <c r="M199" s="26"/>
    </row>
    <row r="200">
      <c r="A200" s="42"/>
      <c r="B200" s="35"/>
      <c r="H200" s="43"/>
      <c r="I200" s="44"/>
      <c r="M200" s="26"/>
    </row>
    <row r="201">
      <c r="A201" s="42"/>
      <c r="B201" s="35"/>
      <c r="H201" s="43"/>
      <c r="I201" s="44"/>
      <c r="M201" s="26"/>
    </row>
    <row r="202">
      <c r="A202" s="42"/>
      <c r="B202" s="35"/>
      <c r="H202" s="43"/>
      <c r="I202" s="44"/>
      <c r="M202" s="26"/>
    </row>
    <row r="203">
      <c r="A203" s="42"/>
      <c r="B203" s="35"/>
      <c r="H203" s="43"/>
      <c r="I203" s="44"/>
      <c r="M203" s="26"/>
    </row>
    <row r="204">
      <c r="A204" s="42"/>
      <c r="B204" s="35"/>
      <c r="H204" s="43"/>
      <c r="I204" s="44"/>
      <c r="M204" s="26"/>
    </row>
    <row r="205">
      <c r="A205" s="42"/>
      <c r="B205" s="35"/>
      <c r="H205" s="43"/>
      <c r="I205" s="44"/>
      <c r="M205" s="26"/>
    </row>
    <row r="206">
      <c r="A206" s="42"/>
      <c r="B206" s="35"/>
      <c r="H206" s="43"/>
      <c r="I206" s="44"/>
      <c r="M206" s="26"/>
    </row>
    <row r="207">
      <c r="A207" s="42"/>
      <c r="B207" s="35"/>
      <c r="H207" s="43"/>
      <c r="I207" s="44"/>
      <c r="M207" s="26"/>
    </row>
    <row r="208">
      <c r="A208" s="42"/>
      <c r="B208" s="35"/>
      <c r="H208" s="43"/>
      <c r="I208" s="44"/>
      <c r="M208" s="26"/>
    </row>
    <row r="209">
      <c r="A209" s="42"/>
      <c r="B209" s="35"/>
      <c r="H209" s="43"/>
      <c r="I209" s="44"/>
      <c r="M209" s="26"/>
    </row>
    <row r="210">
      <c r="A210" s="42"/>
      <c r="B210" s="35"/>
      <c r="H210" s="43"/>
      <c r="I210" s="44"/>
      <c r="M210" s="26"/>
    </row>
    <row r="211">
      <c r="A211" s="42"/>
      <c r="B211" s="35"/>
      <c r="H211" s="43"/>
      <c r="I211" s="44"/>
      <c r="M211" s="26"/>
    </row>
    <row r="212">
      <c r="A212" s="42"/>
      <c r="B212" s="35"/>
      <c r="H212" s="43"/>
      <c r="I212" s="44"/>
      <c r="M212" s="26"/>
    </row>
    <row r="213">
      <c r="A213" s="42"/>
      <c r="B213" s="35"/>
      <c r="H213" s="43"/>
      <c r="I213" s="44"/>
      <c r="M213" s="26"/>
    </row>
    <row r="214">
      <c r="A214" s="42"/>
      <c r="B214" s="35"/>
      <c r="H214" s="43"/>
      <c r="I214" s="44"/>
      <c r="M214" s="26"/>
    </row>
    <row r="215">
      <c r="A215" s="42"/>
      <c r="B215" s="35"/>
      <c r="H215" s="43"/>
      <c r="I215" s="44"/>
      <c r="M215" s="26"/>
    </row>
    <row r="216">
      <c r="A216" s="42"/>
      <c r="B216" s="35"/>
      <c r="H216" s="43"/>
      <c r="I216" s="44"/>
      <c r="M216" s="26"/>
    </row>
    <row r="217">
      <c r="A217" s="42"/>
      <c r="B217" s="35"/>
      <c r="H217" s="43"/>
      <c r="I217" s="44"/>
      <c r="M217" s="26"/>
    </row>
    <row r="218">
      <c r="A218" s="42"/>
      <c r="B218" s="35"/>
      <c r="H218" s="43"/>
      <c r="I218" s="44"/>
      <c r="M218" s="26"/>
    </row>
    <row r="219">
      <c r="A219" s="42"/>
      <c r="B219" s="35"/>
      <c r="H219" s="43"/>
      <c r="I219" s="44"/>
      <c r="M219" s="26"/>
    </row>
    <row r="220">
      <c r="A220" s="42"/>
      <c r="B220" s="35"/>
      <c r="H220" s="43"/>
      <c r="I220" s="44"/>
      <c r="M220" s="26"/>
    </row>
    <row r="221">
      <c r="A221" s="42"/>
      <c r="B221" s="35"/>
      <c r="H221" s="43"/>
      <c r="I221" s="44"/>
      <c r="M221" s="26"/>
    </row>
    <row r="222">
      <c r="A222" s="42"/>
      <c r="B222" s="35"/>
      <c r="H222" s="43"/>
      <c r="I222" s="44"/>
      <c r="M222" s="26"/>
    </row>
    <row r="223">
      <c r="A223" s="42"/>
      <c r="B223" s="35"/>
      <c r="H223" s="43"/>
      <c r="I223" s="44"/>
      <c r="M223" s="26"/>
    </row>
    <row r="224">
      <c r="A224" s="42"/>
      <c r="B224" s="35"/>
      <c r="H224" s="43"/>
      <c r="I224" s="44"/>
      <c r="M224" s="26"/>
    </row>
    <row r="225">
      <c r="A225" s="42"/>
      <c r="B225" s="35"/>
      <c r="H225" s="43"/>
      <c r="I225" s="44"/>
      <c r="M225" s="26"/>
    </row>
    <row r="226">
      <c r="A226" s="42"/>
      <c r="B226" s="35"/>
      <c r="H226" s="43"/>
      <c r="I226" s="44"/>
      <c r="M226" s="26"/>
    </row>
    <row r="227">
      <c r="A227" s="42"/>
      <c r="B227" s="35"/>
      <c r="H227" s="43"/>
      <c r="I227" s="44"/>
      <c r="M227" s="26"/>
    </row>
    <row r="228">
      <c r="A228" s="42"/>
      <c r="B228" s="35"/>
      <c r="H228" s="43"/>
      <c r="I228" s="44"/>
      <c r="M228" s="26"/>
    </row>
    <row r="229">
      <c r="A229" s="42"/>
      <c r="B229" s="35"/>
      <c r="H229" s="43"/>
      <c r="I229" s="44"/>
      <c r="M229" s="26"/>
    </row>
    <row r="230">
      <c r="A230" s="42"/>
      <c r="B230" s="35"/>
      <c r="H230" s="43"/>
      <c r="I230" s="44"/>
      <c r="M230" s="26"/>
    </row>
    <row r="231">
      <c r="A231" s="42"/>
      <c r="B231" s="35"/>
      <c r="H231" s="43"/>
      <c r="I231" s="44"/>
      <c r="M231" s="26"/>
    </row>
    <row r="232">
      <c r="A232" s="42"/>
      <c r="B232" s="35"/>
      <c r="H232" s="43"/>
      <c r="I232" s="44"/>
      <c r="M232" s="26"/>
    </row>
    <row r="233">
      <c r="A233" s="42"/>
      <c r="B233" s="35"/>
      <c r="H233" s="43"/>
      <c r="I233" s="44"/>
      <c r="M233" s="26"/>
    </row>
    <row r="234">
      <c r="A234" s="42"/>
      <c r="B234" s="35"/>
      <c r="H234" s="43"/>
      <c r="I234" s="44"/>
      <c r="M234" s="26"/>
    </row>
    <row r="235">
      <c r="A235" s="42"/>
      <c r="B235" s="35"/>
      <c r="H235" s="43"/>
      <c r="I235" s="44"/>
      <c r="M235" s="26"/>
    </row>
    <row r="236">
      <c r="A236" s="42"/>
      <c r="B236" s="35"/>
      <c r="H236" s="43"/>
      <c r="I236" s="44"/>
      <c r="M236" s="26"/>
    </row>
    <row r="237">
      <c r="A237" s="42"/>
      <c r="B237" s="35"/>
      <c r="H237" s="43"/>
      <c r="I237" s="44"/>
      <c r="M237" s="26"/>
    </row>
    <row r="238">
      <c r="A238" s="42"/>
      <c r="B238" s="35"/>
      <c r="H238" s="43"/>
      <c r="I238" s="44"/>
      <c r="M238" s="26"/>
    </row>
    <row r="239">
      <c r="A239" s="42"/>
      <c r="B239" s="35"/>
      <c r="H239" s="43"/>
      <c r="I239" s="44"/>
      <c r="M239" s="26"/>
    </row>
    <row r="240">
      <c r="A240" s="42"/>
      <c r="B240" s="35"/>
      <c r="H240" s="43"/>
      <c r="I240" s="44"/>
      <c r="M240" s="26"/>
    </row>
    <row r="241">
      <c r="A241" s="42"/>
      <c r="B241" s="35"/>
      <c r="H241" s="43"/>
      <c r="I241" s="44"/>
      <c r="M241" s="26"/>
    </row>
    <row r="242">
      <c r="A242" s="42"/>
      <c r="B242" s="35"/>
      <c r="H242" s="43"/>
      <c r="I242" s="44"/>
      <c r="M242" s="26"/>
    </row>
    <row r="243">
      <c r="A243" s="42"/>
      <c r="B243" s="35"/>
      <c r="H243" s="43"/>
      <c r="I243" s="44"/>
      <c r="M243" s="26"/>
    </row>
    <row r="244">
      <c r="A244" s="42"/>
      <c r="B244" s="35"/>
      <c r="H244" s="43"/>
      <c r="I244" s="44"/>
      <c r="M244" s="26"/>
    </row>
    <row r="245">
      <c r="A245" s="42"/>
      <c r="B245" s="35"/>
      <c r="H245" s="43"/>
      <c r="I245" s="44"/>
      <c r="M245" s="26"/>
    </row>
    <row r="246">
      <c r="A246" s="42"/>
      <c r="B246" s="35"/>
      <c r="H246" s="43"/>
      <c r="I246" s="44"/>
      <c r="M246" s="26"/>
    </row>
    <row r="247">
      <c r="A247" s="42"/>
      <c r="B247" s="35"/>
      <c r="H247" s="43"/>
      <c r="I247" s="44"/>
      <c r="M247" s="26"/>
    </row>
    <row r="248">
      <c r="A248" s="42"/>
      <c r="B248" s="35"/>
      <c r="H248" s="43"/>
      <c r="I248" s="44"/>
      <c r="M248" s="26"/>
    </row>
    <row r="249">
      <c r="A249" s="42"/>
      <c r="B249" s="35"/>
      <c r="H249" s="43"/>
      <c r="I249" s="44"/>
      <c r="M249" s="26"/>
    </row>
    <row r="250">
      <c r="A250" s="42"/>
      <c r="B250" s="35"/>
      <c r="H250" s="43"/>
      <c r="I250" s="44"/>
      <c r="M250" s="26"/>
    </row>
    <row r="251">
      <c r="A251" s="42"/>
      <c r="B251" s="35"/>
      <c r="H251" s="43"/>
      <c r="I251" s="44"/>
      <c r="M251" s="26"/>
    </row>
    <row r="252">
      <c r="A252" s="42"/>
      <c r="B252" s="35"/>
      <c r="H252" s="43"/>
      <c r="I252" s="44"/>
      <c r="M252" s="26"/>
    </row>
    <row r="253">
      <c r="A253" s="42"/>
      <c r="B253" s="35"/>
      <c r="H253" s="43"/>
      <c r="I253" s="44"/>
      <c r="M253" s="26"/>
    </row>
    <row r="254">
      <c r="A254" s="42"/>
      <c r="B254" s="35"/>
      <c r="H254" s="43"/>
      <c r="I254" s="44"/>
      <c r="M254" s="26"/>
    </row>
    <row r="255">
      <c r="A255" s="42"/>
      <c r="B255" s="35"/>
      <c r="H255" s="43"/>
      <c r="I255" s="44"/>
      <c r="M255" s="26"/>
    </row>
    <row r="256">
      <c r="A256" s="42"/>
      <c r="B256" s="35"/>
      <c r="H256" s="43"/>
      <c r="I256" s="44"/>
      <c r="M256" s="26"/>
    </row>
    <row r="257">
      <c r="A257" s="42"/>
      <c r="B257" s="35"/>
      <c r="H257" s="43"/>
      <c r="I257" s="44"/>
      <c r="M257" s="26"/>
    </row>
    <row r="258">
      <c r="A258" s="42"/>
      <c r="B258" s="35"/>
      <c r="H258" s="43"/>
      <c r="I258" s="44"/>
      <c r="M258" s="26"/>
    </row>
    <row r="259">
      <c r="A259" s="42"/>
      <c r="B259" s="35"/>
      <c r="H259" s="43"/>
      <c r="I259" s="44"/>
      <c r="M259" s="26"/>
    </row>
    <row r="260">
      <c r="A260" s="42"/>
      <c r="B260" s="35"/>
      <c r="H260" s="43"/>
      <c r="I260" s="44"/>
      <c r="M260" s="26"/>
    </row>
    <row r="261">
      <c r="A261" s="42"/>
      <c r="B261" s="35"/>
      <c r="H261" s="43"/>
      <c r="I261" s="44"/>
      <c r="M261" s="26"/>
    </row>
    <row r="262">
      <c r="A262" s="42"/>
      <c r="B262" s="35"/>
      <c r="H262" s="43"/>
      <c r="I262" s="44"/>
      <c r="M262" s="26"/>
    </row>
    <row r="263">
      <c r="A263" s="42"/>
      <c r="B263" s="35"/>
      <c r="H263" s="43"/>
      <c r="I263" s="44"/>
      <c r="M263" s="26"/>
    </row>
    <row r="264">
      <c r="A264" s="42"/>
      <c r="B264" s="35"/>
      <c r="H264" s="43"/>
      <c r="I264" s="44"/>
      <c r="M264" s="26"/>
    </row>
    <row r="265">
      <c r="A265" s="42"/>
      <c r="B265" s="35"/>
      <c r="H265" s="43"/>
      <c r="I265" s="44"/>
      <c r="M265" s="26"/>
    </row>
    <row r="266">
      <c r="A266" s="42"/>
      <c r="B266" s="35"/>
      <c r="H266" s="43"/>
      <c r="I266" s="44"/>
      <c r="M266" s="26"/>
    </row>
    <row r="267">
      <c r="A267" s="42"/>
      <c r="B267" s="35"/>
      <c r="H267" s="43"/>
      <c r="I267" s="44"/>
      <c r="M267" s="26"/>
    </row>
    <row r="268">
      <c r="A268" s="42"/>
      <c r="B268" s="35"/>
      <c r="H268" s="43"/>
      <c r="I268" s="44"/>
      <c r="M268" s="26"/>
    </row>
    <row r="269">
      <c r="A269" s="42"/>
      <c r="B269" s="35"/>
      <c r="H269" s="43"/>
      <c r="I269" s="44"/>
      <c r="M269" s="26"/>
    </row>
    <row r="270">
      <c r="A270" s="42"/>
      <c r="B270" s="35"/>
      <c r="H270" s="43"/>
      <c r="I270" s="44"/>
      <c r="M270" s="26"/>
    </row>
    <row r="271">
      <c r="A271" s="42"/>
      <c r="B271" s="35"/>
      <c r="H271" s="43"/>
      <c r="I271" s="44"/>
      <c r="M271" s="26"/>
    </row>
    <row r="272">
      <c r="A272" s="42"/>
      <c r="B272" s="35"/>
      <c r="H272" s="43"/>
      <c r="I272" s="44"/>
      <c r="M272" s="26"/>
    </row>
    <row r="273">
      <c r="A273" s="42"/>
      <c r="B273" s="35"/>
      <c r="H273" s="43"/>
      <c r="I273" s="44"/>
      <c r="M273" s="26"/>
    </row>
    <row r="274">
      <c r="A274" s="42"/>
      <c r="B274" s="35"/>
      <c r="H274" s="43"/>
      <c r="I274" s="44"/>
      <c r="M274" s="26"/>
    </row>
    <row r="275">
      <c r="A275" s="42"/>
      <c r="B275" s="35"/>
      <c r="H275" s="43"/>
      <c r="I275" s="44"/>
      <c r="M275" s="26"/>
    </row>
    <row r="276">
      <c r="A276" s="42"/>
      <c r="B276" s="35"/>
      <c r="H276" s="43"/>
      <c r="I276" s="44"/>
      <c r="M276" s="26"/>
    </row>
    <row r="277">
      <c r="A277" s="42"/>
      <c r="B277" s="35"/>
      <c r="H277" s="43"/>
      <c r="I277" s="44"/>
      <c r="M277" s="26"/>
    </row>
    <row r="278">
      <c r="A278" s="42"/>
      <c r="B278" s="35"/>
      <c r="H278" s="43"/>
      <c r="I278" s="44"/>
      <c r="M278" s="26"/>
    </row>
    <row r="279">
      <c r="A279" s="42"/>
      <c r="B279" s="35"/>
      <c r="H279" s="43"/>
      <c r="I279" s="44"/>
      <c r="M279" s="26"/>
    </row>
    <row r="280">
      <c r="A280" s="42"/>
      <c r="B280" s="35"/>
      <c r="H280" s="43"/>
      <c r="I280" s="44"/>
      <c r="M280" s="26"/>
    </row>
    <row r="281">
      <c r="A281" s="42"/>
      <c r="B281" s="35"/>
      <c r="H281" s="43"/>
      <c r="I281" s="44"/>
      <c r="M281" s="26"/>
    </row>
    <row r="282">
      <c r="A282" s="42"/>
      <c r="B282" s="35"/>
      <c r="H282" s="43"/>
      <c r="I282" s="44"/>
      <c r="M282" s="26"/>
    </row>
    <row r="283">
      <c r="A283" s="42"/>
      <c r="B283" s="35"/>
      <c r="H283" s="43"/>
      <c r="I283" s="44"/>
      <c r="M283" s="26"/>
    </row>
    <row r="284">
      <c r="A284" s="42"/>
      <c r="B284" s="35"/>
      <c r="H284" s="43"/>
      <c r="I284" s="44"/>
      <c r="M284" s="26"/>
    </row>
    <row r="285">
      <c r="A285" s="42"/>
      <c r="B285" s="35"/>
      <c r="H285" s="43"/>
      <c r="I285" s="44"/>
      <c r="M285" s="26"/>
    </row>
    <row r="286">
      <c r="A286" s="42"/>
      <c r="B286" s="35"/>
      <c r="H286" s="43"/>
      <c r="I286" s="44"/>
      <c r="M286" s="26"/>
    </row>
    <row r="287">
      <c r="A287" s="42"/>
      <c r="B287" s="35"/>
      <c r="H287" s="43"/>
      <c r="I287" s="44"/>
      <c r="M287" s="26"/>
    </row>
    <row r="288">
      <c r="A288" s="42"/>
      <c r="B288" s="35"/>
      <c r="H288" s="43"/>
      <c r="I288" s="44"/>
      <c r="M288" s="26"/>
    </row>
    <row r="289">
      <c r="A289" s="42"/>
      <c r="B289" s="35"/>
      <c r="H289" s="43"/>
      <c r="I289" s="44"/>
      <c r="M289" s="26"/>
    </row>
    <row r="290">
      <c r="A290" s="42"/>
      <c r="B290" s="35"/>
      <c r="H290" s="43"/>
      <c r="I290" s="44"/>
      <c r="M290" s="26"/>
    </row>
    <row r="291">
      <c r="A291" s="42"/>
      <c r="B291" s="35"/>
      <c r="H291" s="43"/>
      <c r="I291" s="44"/>
      <c r="M291" s="26"/>
    </row>
    <row r="292">
      <c r="A292" s="42"/>
      <c r="B292" s="35"/>
      <c r="H292" s="43"/>
      <c r="I292" s="44"/>
      <c r="M292" s="26"/>
    </row>
    <row r="293">
      <c r="A293" s="42"/>
      <c r="B293" s="35"/>
      <c r="H293" s="43"/>
      <c r="I293" s="44"/>
      <c r="M293" s="26"/>
    </row>
    <row r="294">
      <c r="A294" s="42"/>
      <c r="B294" s="35"/>
      <c r="H294" s="43"/>
      <c r="I294" s="44"/>
      <c r="M294" s="26"/>
    </row>
    <row r="295">
      <c r="A295" s="42"/>
      <c r="B295" s="35"/>
      <c r="H295" s="43"/>
      <c r="I295" s="44"/>
      <c r="M295" s="26"/>
    </row>
    <row r="296">
      <c r="A296" s="42"/>
      <c r="B296" s="35"/>
      <c r="H296" s="43"/>
      <c r="I296" s="44"/>
      <c r="M296" s="26"/>
    </row>
    <row r="297">
      <c r="A297" s="42"/>
      <c r="B297" s="35"/>
      <c r="H297" s="43"/>
      <c r="I297" s="44"/>
      <c r="M297" s="26"/>
    </row>
    <row r="298">
      <c r="A298" s="42"/>
      <c r="B298" s="35"/>
      <c r="H298" s="43"/>
      <c r="I298" s="44"/>
      <c r="M298" s="26"/>
    </row>
    <row r="299">
      <c r="A299" s="42"/>
      <c r="B299" s="35"/>
      <c r="H299" s="43"/>
      <c r="I299" s="44"/>
      <c r="M299" s="26"/>
    </row>
    <row r="300">
      <c r="A300" s="42"/>
      <c r="B300" s="35"/>
      <c r="H300" s="43"/>
      <c r="I300" s="44"/>
      <c r="M300" s="26"/>
    </row>
    <row r="301">
      <c r="A301" s="42"/>
      <c r="B301" s="35"/>
      <c r="H301" s="43"/>
      <c r="I301" s="44"/>
      <c r="M301" s="26"/>
    </row>
    <row r="302">
      <c r="A302" s="42"/>
      <c r="B302" s="35"/>
      <c r="H302" s="43"/>
      <c r="I302" s="44"/>
      <c r="M302" s="26"/>
    </row>
    <row r="303">
      <c r="A303" s="42"/>
      <c r="B303" s="35"/>
      <c r="H303" s="43"/>
      <c r="I303" s="44"/>
      <c r="M303" s="26"/>
    </row>
    <row r="304">
      <c r="A304" s="42"/>
      <c r="B304" s="35"/>
      <c r="H304" s="43"/>
      <c r="I304" s="44"/>
      <c r="M304" s="26"/>
    </row>
    <row r="305">
      <c r="A305" s="42"/>
      <c r="B305" s="35"/>
      <c r="H305" s="43"/>
      <c r="I305" s="44"/>
      <c r="M305" s="26"/>
    </row>
    <row r="306">
      <c r="A306" s="42"/>
      <c r="B306" s="35"/>
      <c r="H306" s="43"/>
      <c r="I306" s="44"/>
      <c r="M306" s="26"/>
    </row>
    <row r="307">
      <c r="A307" s="42"/>
      <c r="B307" s="35"/>
      <c r="H307" s="43"/>
      <c r="I307" s="44"/>
      <c r="M307" s="26"/>
    </row>
    <row r="308">
      <c r="A308" s="42"/>
      <c r="B308" s="35"/>
      <c r="H308" s="43"/>
      <c r="I308" s="44"/>
      <c r="M308" s="26"/>
    </row>
    <row r="309">
      <c r="A309" s="42"/>
      <c r="B309" s="35"/>
      <c r="H309" s="43"/>
      <c r="I309" s="44"/>
      <c r="M309" s="26"/>
    </row>
    <row r="310">
      <c r="A310" s="42"/>
      <c r="B310" s="35"/>
      <c r="H310" s="43"/>
      <c r="I310" s="44"/>
      <c r="M310" s="26"/>
    </row>
    <row r="311">
      <c r="A311" s="42"/>
      <c r="B311" s="35"/>
      <c r="H311" s="43"/>
      <c r="I311" s="44"/>
      <c r="M311" s="26"/>
    </row>
    <row r="312">
      <c r="A312" s="42"/>
      <c r="B312" s="35"/>
      <c r="H312" s="43"/>
      <c r="I312" s="44"/>
      <c r="M312" s="26"/>
    </row>
    <row r="313">
      <c r="A313" s="42"/>
      <c r="B313" s="35"/>
      <c r="H313" s="43"/>
      <c r="I313" s="44"/>
      <c r="M313" s="26"/>
    </row>
    <row r="314">
      <c r="A314" s="42"/>
      <c r="B314" s="35"/>
      <c r="H314" s="43"/>
      <c r="I314" s="44"/>
      <c r="M314" s="26"/>
    </row>
    <row r="315">
      <c r="A315" s="42"/>
      <c r="B315" s="35"/>
      <c r="H315" s="43"/>
      <c r="I315" s="44"/>
      <c r="M315" s="26"/>
    </row>
    <row r="316">
      <c r="A316" s="42"/>
      <c r="B316" s="35"/>
      <c r="H316" s="43"/>
      <c r="I316" s="44"/>
      <c r="M316" s="26"/>
    </row>
    <row r="317">
      <c r="A317" s="42"/>
      <c r="B317" s="35"/>
      <c r="H317" s="43"/>
      <c r="I317" s="44"/>
      <c r="M317" s="26"/>
    </row>
    <row r="318">
      <c r="A318" s="42"/>
      <c r="B318" s="35"/>
      <c r="H318" s="43"/>
      <c r="I318" s="44"/>
      <c r="M318" s="26"/>
    </row>
    <row r="319">
      <c r="A319" s="42"/>
      <c r="B319" s="35"/>
      <c r="H319" s="43"/>
      <c r="I319" s="44"/>
      <c r="M319" s="26"/>
    </row>
    <row r="320">
      <c r="A320" s="42"/>
      <c r="B320" s="35"/>
      <c r="H320" s="43"/>
      <c r="I320" s="44"/>
      <c r="M320" s="26"/>
    </row>
    <row r="321">
      <c r="A321" s="42"/>
      <c r="B321" s="35"/>
      <c r="H321" s="43"/>
      <c r="I321" s="44"/>
      <c r="M321" s="26"/>
    </row>
    <row r="322">
      <c r="A322" s="42"/>
      <c r="B322" s="35"/>
      <c r="H322" s="43"/>
      <c r="I322" s="44"/>
      <c r="M322" s="26"/>
    </row>
    <row r="323">
      <c r="A323" s="42"/>
      <c r="B323" s="35"/>
      <c r="H323" s="43"/>
      <c r="I323" s="44"/>
      <c r="M323" s="26"/>
    </row>
    <row r="324">
      <c r="A324" s="42"/>
      <c r="B324" s="35"/>
      <c r="H324" s="43"/>
      <c r="I324" s="44"/>
      <c r="M324" s="26"/>
    </row>
    <row r="325">
      <c r="A325" s="42"/>
      <c r="B325" s="35"/>
      <c r="H325" s="43"/>
      <c r="I325" s="44"/>
      <c r="M325" s="26"/>
    </row>
    <row r="326">
      <c r="A326" s="42"/>
      <c r="B326" s="35"/>
      <c r="H326" s="43"/>
      <c r="I326" s="44"/>
      <c r="M326" s="26"/>
    </row>
    <row r="327">
      <c r="A327" s="42"/>
      <c r="B327" s="35"/>
      <c r="H327" s="43"/>
      <c r="I327" s="44"/>
      <c r="M327" s="26"/>
    </row>
    <row r="328">
      <c r="A328" s="42"/>
      <c r="B328" s="35"/>
      <c r="H328" s="43"/>
      <c r="I328" s="44"/>
      <c r="M328" s="26"/>
    </row>
    <row r="329">
      <c r="A329" s="42"/>
      <c r="B329" s="35"/>
      <c r="H329" s="43"/>
      <c r="I329" s="44"/>
      <c r="M329" s="26"/>
    </row>
    <row r="330">
      <c r="A330" s="42"/>
      <c r="B330" s="35"/>
      <c r="H330" s="43"/>
      <c r="I330" s="44"/>
      <c r="M330" s="26"/>
    </row>
    <row r="331">
      <c r="A331" s="42"/>
      <c r="B331" s="35"/>
      <c r="H331" s="43"/>
      <c r="I331" s="44"/>
      <c r="M331" s="26"/>
    </row>
    <row r="332">
      <c r="A332" s="42"/>
      <c r="B332" s="35"/>
      <c r="H332" s="43"/>
      <c r="I332" s="44"/>
      <c r="M332" s="26"/>
    </row>
    <row r="333">
      <c r="A333" s="42"/>
      <c r="B333" s="35"/>
      <c r="H333" s="43"/>
      <c r="I333" s="44"/>
      <c r="M333" s="26"/>
    </row>
    <row r="334">
      <c r="A334" s="42"/>
      <c r="B334" s="35"/>
      <c r="H334" s="43"/>
      <c r="I334" s="44"/>
      <c r="M334" s="26"/>
    </row>
    <row r="335">
      <c r="A335" s="42"/>
      <c r="B335" s="35"/>
      <c r="H335" s="43"/>
      <c r="I335" s="44"/>
      <c r="M335" s="26"/>
    </row>
    <row r="336">
      <c r="A336" s="42"/>
      <c r="B336" s="35"/>
      <c r="H336" s="43"/>
      <c r="I336" s="44"/>
      <c r="M336" s="26"/>
    </row>
    <row r="337">
      <c r="A337" s="42"/>
      <c r="B337" s="35"/>
      <c r="H337" s="43"/>
      <c r="I337" s="44"/>
      <c r="M337" s="26"/>
    </row>
    <row r="338">
      <c r="A338" s="42"/>
      <c r="B338" s="35"/>
      <c r="H338" s="43"/>
      <c r="I338" s="44"/>
      <c r="M338" s="26"/>
    </row>
    <row r="339">
      <c r="A339" s="42"/>
      <c r="B339" s="35"/>
      <c r="H339" s="43"/>
      <c r="I339" s="44"/>
      <c r="M339" s="26"/>
    </row>
    <row r="340">
      <c r="A340" s="42"/>
      <c r="B340" s="35"/>
      <c r="H340" s="43"/>
      <c r="I340" s="44"/>
      <c r="M340" s="26"/>
    </row>
    <row r="341">
      <c r="A341" s="42"/>
      <c r="B341" s="35"/>
      <c r="H341" s="43"/>
      <c r="I341" s="44"/>
      <c r="M341" s="26"/>
    </row>
    <row r="342">
      <c r="A342" s="42"/>
      <c r="B342" s="35"/>
      <c r="H342" s="43"/>
      <c r="I342" s="44"/>
      <c r="M342" s="26"/>
    </row>
    <row r="343">
      <c r="A343" s="42"/>
      <c r="B343" s="35"/>
      <c r="H343" s="43"/>
      <c r="I343" s="44"/>
      <c r="M343" s="26"/>
    </row>
    <row r="344">
      <c r="A344" s="42"/>
      <c r="B344" s="35"/>
      <c r="H344" s="43"/>
      <c r="I344" s="44"/>
      <c r="M344" s="26"/>
    </row>
    <row r="345">
      <c r="A345" s="42"/>
      <c r="B345" s="35"/>
      <c r="H345" s="43"/>
      <c r="I345" s="44"/>
      <c r="M345" s="26"/>
    </row>
    <row r="346">
      <c r="A346" s="42"/>
      <c r="B346" s="35"/>
      <c r="H346" s="43"/>
      <c r="I346" s="44"/>
      <c r="M346" s="26"/>
    </row>
    <row r="347">
      <c r="A347" s="42"/>
      <c r="B347" s="35"/>
      <c r="H347" s="43"/>
      <c r="I347" s="44"/>
      <c r="M347" s="26"/>
    </row>
    <row r="348">
      <c r="A348" s="42"/>
      <c r="B348" s="35"/>
      <c r="H348" s="43"/>
      <c r="I348" s="44"/>
      <c r="M348" s="26"/>
    </row>
    <row r="349">
      <c r="A349" s="42"/>
      <c r="B349" s="35"/>
      <c r="H349" s="43"/>
      <c r="I349" s="44"/>
      <c r="M349" s="26"/>
    </row>
    <row r="350">
      <c r="A350" s="42"/>
      <c r="B350" s="35"/>
      <c r="H350" s="43"/>
      <c r="I350" s="44"/>
      <c r="M350" s="26"/>
    </row>
    <row r="351">
      <c r="A351" s="42"/>
      <c r="B351" s="35"/>
      <c r="H351" s="43"/>
      <c r="I351" s="44"/>
      <c r="M351" s="26"/>
    </row>
    <row r="352">
      <c r="A352" s="42"/>
      <c r="B352" s="35"/>
      <c r="H352" s="43"/>
      <c r="I352" s="44"/>
      <c r="M352" s="26"/>
    </row>
    <row r="353">
      <c r="A353" s="42"/>
      <c r="B353" s="35"/>
      <c r="H353" s="43"/>
      <c r="I353" s="44"/>
      <c r="M353" s="26"/>
    </row>
    <row r="354">
      <c r="A354" s="42"/>
      <c r="B354" s="35"/>
      <c r="H354" s="43"/>
      <c r="I354" s="44"/>
      <c r="M354" s="26"/>
    </row>
    <row r="355">
      <c r="A355" s="42"/>
      <c r="B355" s="35"/>
      <c r="H355" s="43"/>
      <c r="I355" s="44"/>
      <c r="M355" s="26"/>
    </row>
    <row r="356">
      <c r="A356" s="42"/>
      <c r="B356" s="35"/>
      <c r="H356" s="43"/>
      <c r="I356" s="44"/>
      <c r="M356" s="26"/>
    </row>
    <row r="357">
      <c r="A357" s="42"/>
      <c r="B357" s="35"/>
      <c r="H357" s="43"/>
      <c r="I357" s="44"/>
      <c r="M357" s="26"/>
    </row>
    <row r="358">
      <c r="A358" s="42"/>
      <c r="B358" s="35"/>
      <c r="H358" s="43"/>
      <c r="I358" s="44"/>
      <c r="M358" s="26"/>
    </row>
    <row r="359">
      <c r="A359" s="42"/>
      <c r="B359" s="35"/>
      <c r="H359" s="43"/>
      <c r="I359" s="44"/>
      <c r="M359" s="26"/>
    </row>
    <row r="360">
      <c r="A360" s="42"/>
      <c r="B360" s="35"/>
      <c r="H360" s="43"/>
      <c r="I360" s="44"/>
      <c r="M360" s="26"/>
    </row>
    <row r="361">
      <c r="A361" s="42"/>
      <c r="B361" s="35"/>
      <c r="H361" s="43"/>
      <c r="I361" s="44"/>
      <c r="M361" s="26"/>
    </row>
    <row r="362">
      <c r="A362" s="42"/>
      <c r="B362" s="35"/>
      <c r="H362" s="43"/>
      <c r="I362" s="44"/>
      <c r="M362" s="26"/>
    </row>
    <row r="363">
      <c r="A363" s="42"/>
      <c r="B363" s="35"/>
      <c r="H363" s="43"/>
      <c r="I363" s="44"/>
      <c r="M363" s="26"/>
    </row>
    <row r="364">
      <c r="A364" s="42"/>
      <c r="B364" s="35"/>
      <c r="H364" s="43"/>
      <c r="I364" s="44"/>
      <c r="M364" s="26"/>
    </row>
    <row r="365">
      <c r="A365" s="42"/>
      <c r="B365" s="35"/>
      <c r="H365" s="43"/>
      <c r="I365" s="44"/>
      <c r="M365" s="26"/>
    </row>
    <row r="366">
      <c r="A366" s="42"/>
      <c r="B366" s="35"/>
      <c r="H366" s="43"/>
      <c r="I366" s="44"/>
      <c r="M366" s="26"/>
    </row>
    <row r="367">
      <c r="A367" s="42"/>
      <c r="B367" s="35"/>
      <c r="H367" s="43"/>
      <c r="I367" s="44"/>
      <c r="M367" s="26"/>
    </row>
    <row r="368">
      <c r="A368" s="42"/>
      <c r="B368" s="35"/>
      <c r="H368" s="43"/>
      <c r="I368" s="44"/>
      <c r="M368" s="26"/>
    </row>
    <row r="369">
      <c r="A369" s="42"/>
      <c r="B369" s="35"/>
      <c r="H369" s="43"/>
      <c r="I369" s="44"/>
      <c r="M369" s="26"/>
    </row>
    <row r="370">
      <c r="A370" s="42"/>
      <c r="B370" s="35"/>
      <c r="H370" s="43"/>
      <c r="I370" s="44"/>
      <c r="M370" s="26"/>
    </row>
    <row r="371">
      <c r="A371" s="42"/>
      <c r="B371" s="35"/>
      <c r="H371" s="43"/>
      <c r="I371" s="44"/>
      <c r="M371" s="26"/>
    </row>
    <row r="372">
      <c r="A372" s="42"/>
      <c r="B372" s="35"/>
      <c r="H372" s="43"/>
      <c r="I372" s="44"/>
      <c r="M372" s="26"/>
    </row>
    <row r="373">
      <c r="A373" s="42"/>
      <c r="B373" s="35"/>
      <c r="H373" s="43"/>
      <c r="I373" s="44"/>
      <c r="M373" s="26"/>
    </row>
    <row r="374">
      <c r="A374" s="42"/>
      <c r="B374" s="35"/>
      <c r="H374" s="43"/>
      <c r="I374" s="44"/>
      <c r="M374" s="26"/>
    </row>
    <row r="375">
      <c r="A375" s="42"/>
      <c r="B375" s="35"/>
      <c r="H375" s="43"/>
      <c r="I375" s="44"/>
      <c r="M375" s="26"/>
    </row>
    <row r="376">
      <c r="A376" s="42"/>
      <c r="B376" s="35"/>
      <c r="H376" s="43"/>
      <c r="I376" s="44"/>
      <c r="M376" s="26"/>
    </row>
    <row r="377">
      <c r="A377" s="42"/>
      <c r="B377" s="35"/>
      <c r="H377" s="43"/>
      <c r="I377" s="44"/>
      <c r="M377" s="26"/>
    </row>
    <row r="378">
      <c r="A378" s="42"/>
      <c r="B378" s="35"/>
      <c r="H378" s="43"/>
      <c r="I378" s="44"/>
      <c r="M378" s="26"/>
    </row>
    <row r="379">
      <c r="A379" s="42"/>
      <c r="B379" s="35"/>
      <c r="H379" s="43"/>
      <c r="I379" s="44"/>
      <c r="M379" s="26"/>
    </row>
    <row r="380">
      <c r="A380" s="42"/>
      <c r="B380" s="35"/>
      <c r="H380" s="43"/>
      <c r="I380" s="44"/>
      <c r="M380" s="26"/>
    </row>
    <row r="381">
      <c r="A381" s="42"/>
      <c r="B381" s="35"/>
      <c r="H381" s="43"/>
      <c r="I381" s="44"/>
      <c r="M381" s="26"/>
    </row>
    <row r="382">
      <c r="A382" s="42"/>
      <c r="B382" s="35"/>
      <c r="H382" s="43"/>
      <c r="I382" s="44"/>
      <c r="M382" s="26"/>
    </row>
    <row r="383">
      <c r="A383" s="42"/>
      <c r="B383" s="35"/>
      <c r="H383" s="43"/>
      <c r="I383" s="44"/>
      <c r="M383" s="26"/>
    </row>
    <row r="384">
      <c r="A384" s="42"/>
      <c r="B384" s="35"/>
      <c r="H384" s="43"/>
      <c r="I384" s="44"/>
      <c r="M384" s="26"/>
    </row>
    <row r="385">
      <c r="A385" s="42"/>
      <c r="B385" s="35"/>
      <c r="H385" s="43"/>
      <c r="I385" s="44"/>
      <c r="M385" s="26"/>
    </row>
    <row r="386">
      <c r="A386" s="42"/>
      <c r="B386" s="35"/>
      <c r="H386" s="43"/>
      <c r="I386" s="44"/>
      <c r="M386" s="26"/>
    </row>
    <row r="387">
      <c r="A387" s="42"/>
      <c r="B387" s="35"/>
      <c r="H387" s="43"/>
      <c r="I387" s="44"/>
      <c r="M387" s="26"/>
    </row>
    <row r="388">
      <c r="A388" s="42"/>
      <c r="B388" s="35"/>
      <c r="H388" s="43"/>
      <c r="I388" s="44"/>
      <c r="M388" s="26"/>
    </row>
    <row r="389">
      <c r="A389" s="42"/>
      <c r="B389" s="35"/>
      <c r="H389" s="43"/>
      <c r="I389" s="44"/>
      <c r="M389" s="26"/>
    </row>
    <row r="390">
      <c r="A390" s="42"/>
      <c r="B390" s="35"/>
      <c r="H390" s="43"/>
      <c r="I390" s="44"/>
      <c r="M390" s="26"/>
    </row>
    <row r="391">
      <c r="A391" s="42"/>
      <c r="B391" s="35"/>
      <c r="H391" s="43"/>
      <c r="I391" s="44"/>
      <c r="M391" s="26"/>
    </row>
    <row r="392">
      <c r="A392" s="42"/>
      <c r="B392" s="35"/>
      <c r="H392" s="43"/>
      <c r="I392" s="44"/>
      <c r="M392" s="26"/>
    </row>
    <row r="393">
      <c r="A393" s="42"/>
      <c r="B393" s="35"/>
      <c r="H393" s="43"/>
      <c r="I393" s="44"/>
      <c r="M393" s="26"/>
    </row>
    <row r="394">
      <c r="A394" s="42"/>
      <c r="B394" s="35"/>
      <c r="H394" s="43"/>
      <c r="I394" s="44"/>
      <c r="M394" s="26"/>
    </row>
    <row r="395">
      <c r="A395" s="42"/>
      <c r="B395" s="35"/>
      <c r="H395" s="43"/>
      <c r="I395" s="44"/>
      <c r="M395" s="26"/>
    </row>
    <row r="396">
      <c r="A396" s="42"/>
      <c r="B396" s="35"/>
      <c r="H396" s="43"/>
      <c r="I396" s="44"/>
      <c r="M396" s="26"/>
    </row>
    <row r="397">
      <c r="A397" s="42"/>
      <c r="B397" s="35"/>
      <c r="H397" s="43"/>
      <c r="I397" s="44"/>
      <c r="M397" s="26"/>
    </row>
    <row r="398">
      <c r="A398" s="42"/>
      <c r="B398" s="35"/>
      <c r="H398" s="43"/>
      <c r="I398" s="44"/>
      <c r="M398" s="26"/>
    </row>
    <row r="399">
      <c r="A399" s="42"/>
      <c r="B399" s="35"/>
      <c r="H399" s="43"/>
      <c r="I399" s="44"/>
      <c r="M399" s="26"/>
    </row>
    <row r="400">
      <c r="A400" s="42"/>
      <c r="B400" s="35"/>
      <c r="H400" s="43"/>
      <c r="I400" s="44"/>
      <c r="M400" s="26"/>
    </row>
    <row r="401">
      <c r="A401" s="42"/>
      <c r="B401" s="35"/>
      <c r="H401" s="43"/>
      <c r="I401" s="44"/>
      <c r="M401" s="26"/>
    </row>
    <row r="402">
      <c r="A402" s="42"/>
      <c r="B402" s="35"/>
      <c r="H402" s="43"/>
      <c r="I402" s="44"/>
      <c r="M402" s="26"/>
    </row>
    <row r="403">
      <c r="A403" s="42"/>
      <c r="B403" s="35"/>
      <c r="H403" s="43"/>
      <c r="I403" s="44"/>
      <c r="M403" s="26"/>
    </row>
    <row r="404">
      <c r="A404" s="42"/>
      <c r="B404" s="35"/>
      <c r="H404" s="43"/>
      <c r="I404" s="44"/>
      <c r="M404" s="26"/>
    </row>
    <row r="405">
      <c r="A405" s="42"/>
      <c r="B405" s="35"/>
      <c r="H405" s="43"/>
      <c r="I405" s="44"/>
      <c r="M405" s="26"/>
    </row>
    <row r="406">
      <c r="A406" s="42"/>
      <c r="B406" s="35"/>
      <c r="H406" s="43"/>
      <c r="I406" s="44"/>
      <c r="M406" s="26"/>
    </row>
    <row r="407">
      <c r="A407" s="42"/>
      <c r="B407" s="35"/>
      <c r="H407" s="43"/>
      <c r="I407" s="44"/>
      <c r="M407" s="26"/>
    </row>
    <row r="408">
      <c r="A408" s="42"/>
      <c r="B408" s="35"/>
      <c r="H408" s="43"/>
      <c r="I408" s="44"/>
      <c r="M408" s="26"/>
    </row>
    <row r="409">
      <c r="A409" s="42"/>
      <c r="B409" s="35"/>
      <c r="H409" s="43"/>
      <c r="I409" s="44"/>
      <c r="M409" s="26"/>
    </row>
    <row r="410">
      <c r="A410" s="42"/>
      <c r="B410" s="35"/>
      <c r="H410" s="43"/>
      <c r="I410" s="44"/>
      <c r="M410" s="26"/>
    </row>
    <row r="411">
      <c r="A411" s="42"/>
      <c r="B411" s="35"/>
      <c r="H411" s="43"/>
      <c r="I411" s="44"/>
      <c r="M411" s="26"/>
    </row>
    <row r="412">
      <c r="A412" s="42"/>
      <c r="B412" s="35"/>
      <c r="H412" s="43"/>
      <c r="I412" s="44"/>
      <c r="M412" s="26"/>
    </row>
    <row r="413">
      <c r="A413" s="42"/>
      <c r="B413" s="35"/>
      <c r="H413" s="43"/>
      <c r="I413" s="44"/>
      <c r="M413" s="26"/>
    </row>
    <row r="414">
      <c r="A414" s="42"/>
      <c r="B414" s="35"/>
      <c r="H414" s="43"/>
      <c r="I414" s="44"/>
      <c r="M414" s="26"/>
    </row>
    <row r="415">
      <c r="A415" s="42"/>
      <c r="B415" s="35"/>
      <c r="H415" s="43"/>
      <c r="I415" s="44"/>
      <c r="M415" s="26"/>
    </row>
    <row r="416">
      <c r="A416" s="42"/>
      <c r="B416" s="35"/>
      <c r="H416" s="43"/>
      <c r="I416" s="44"/>
      <c r="M416" s="26"/>
    </row>
    <row r="417">
      <c r="A417" s="42"/>
      <c r="B417" s="35"/>
      <c r="H417" s="43"/>
      <c r="I417" s="44"/>
      <c r="M417" s="26"/>
    </row>
    <row r="418">
      <c r="A418" s="42"/>
      <c r="B418" s="35"/>
      <c r="H418" s="43"/>
      <c r="I418" s="44"/>
      <c r="M418" s="26"/>
    </row>
    <row r="419">
      <c r="A419" s="42"/>
      <c r="B419" s="35"/>
      <c r="H419" s="43"/>
      <c r="I419" s="44"/>
      <c r="M419" s="26"/>
    </row>
    <row r="420">
      <c r="A420" s="42"/>
      <c r="B420" s="35"/>
      <c r="H420" s="43"/>
      <c r="I420" s="44"/>
      <c r="M420" s="26"/>
    </row>
    <row r="421">
      <c r="A421" s="42"/>
      <c r="B421" s="35"/>
      <c r="H421" s="43"/>
      <c r="I421" s="44"/>
      <c r="M421" s="26"/>
    </row>
    <row r="422">
      <c r="A422" s="42"/>
      <c r="B422" s="35"/>
      <c r="H422" s="43"/>
      <c r="I422" s="44"/>
      <c r="M422" s="26"/>
    </row>
    <row r="423">
      <c r="A423" s="42"/>
      <c r="B423" s="35"/>
      <c r="H423" s="43"/>
      <c r="I423" s="44"/>
      <c r="M423" s="26"/>
    </row>
    <row r="424">
      <c r="A424" s="42"/>
      <c r="B424" s="35"/>
      <c r="H424" s="43"/>
      <c r="I424" s="44"/>
      <c r="M424" s="26"/>
    </row>
    <row r="425">
      <c r="A425" s="42"/>
      <c r="B425" s="35"/>
      <c r="H425" s="43"/>
      <c r="I425" s="44"/>
      <c r="M425" s="26"/>
    </row>
    <row r="426">
      <c r="A426" s="42"/>
      <c r="B426" s="35"/>
      <c r="H426" s="43"/>
      <c r="I426" s="44"/>
      <c r="M426" s="26"/>
    </row>
    <row r="427">
      <c r="A427" s="42"/>
      <c r="B427" s="35"/>
      <c r="H427" s="43"/>
      <c r="I427" s="44"/>
      <c r="M427" s="26"/>
    </row>
    <row r="428">
      <c r="A428" s="42"/>
      <c r="B428" s="35"/>
      <c r="H428" s="43"/>
      <c r="I428" s="44"/>
      <c r="M428" s="26"/>
    </row>
    <row r="429">
      <c r="A429" s="42"/>
      <c r="B429" s="35"/>
      <c r="H429" s="43"/>
      <c r="I429" s="44"/>
      <c r="M429" s="26"/>
    </row>
    <row r="430">
      <c r="A430" s="42"/>
      <c r="B430" s="35"/>
      <c r="H430" s="43"/>
      <c r="I430" s="44"/>
      <c r="M430" s="26"/>
    </row>
    <row r="431">
      <c r="A431" s="42"/>
      <c r="B431" s="35"/>
      <c r="H431" s="43"/>
      <c r="I431" s="44"/>
      <c r="M431" s="26"/>
    </row>
    <row r="432">
      <c r="A432" s="42"/>
      <c r="B432" s="35"/>
      <c r="H432" s="43"/>
      <c r="I432" s="44"/>
      <c r="M432" s="26"/>
    </row>
    <row r="433">
      <c r="A433" s="42"/>
      <c r="B433" s="35"/>
      <c r="H433" s="43"/>
      <c r="I433" s="44"/>
      <c r="M433" s="26"/>
    </row>
    <row r="434">
      <c r="A434" s="42"/>
      <c r="B434" s="35"/>
      <c r="H434" s="43"/>
      <c r="I434" s="44"/>
      <c r="M434" s="26"/>
    </row>
    <row r="435">
      <c r="A435" s="42"/>
      <c r="B435" s="35"/>
      <c r="H435" s="43"/>
      <c r="I435" s="44"/>
      <c r="M435" s="26"/>
    </row>
    <row r="436">
      <c r="A436" s="42"/>
      <c r="B436" s="35"/>
      <c r="H436" s="43"/>
      <c r="I436" s="44"/>
      <c r="M436" s="26"/>
    </row>
    <row r="437">
      <c r="A437" s="42"/>
      <c r="B437" s="35"/>
      <c r="H437" s="43"/>
      <c r="I437" s="44"/>
      <c r="M437" s="26"/>
    </row>
    <row r="438">
      <c r="A438" s="42"/>
      <c r="B438" s="35"/>
      <c r="H438" s="43"/>
      <c r="I438" s="44"/>
      <c r="M438" s="26"/>
    </row>
    <row r="439">
      <c r="A439" s="42"/>
      <c r="B439" s="35"/>
      <c r="H439" s="43"/>
      <c r="I439" s="44"/>
      <c r="M439" s="26"/>
    </row>
    <row r="440">
      <c r="A440" s="42"/>
      <c r="B440" s="35"/>
      <c r="H440" s="43"/>
      <c r="I440" s="44"/>
      <c r="M440" s="26"/>
    </row>
    <row r="441">
      <c r="A441" s="42"/>
      <c r="B441" s="35"/>
      <c r="H441" s="43"/>
      <c r="I441" s="44"/>
      <c r="M441" s="26"/>
    </row>
    <row r="442">
      <c r="A442" s="42"/>
      <c r="B442" s="35"/>
      <c r="H442" s="43"/>
      <c r="I442" s="44"/>
      <c r="M442" s="26"/>
    </row>
    <row r="443">
      <c r="A443" s="42"/>
      <c r="B443" s="35"/>
      <c r="H443" s="43"/>
      <c r="I443" s="44"/>
      <c r="M443" s="26"/>
    </row>
    <row r="444">
      <c r="A444" s="42"/>
      <c r="B444" s="35"/>
      <c r="H444" s="43"/>
      <c r="I444" s="44"/>
      <c r="M444" s="26"/>
    </row>
    <row r="445">
      <c r="A445" s="42"/>
      <c r="B445" s="35"/>
      <c r="H445" s="43"/>
      <c r="I445" s="44"/>
      <c r="M445" s="26"/>
    </row>
    <row r="446">
      <c r="A446" s="42"/>
      <c r="B446" s="35"/>
      <c r="H446" s="43"/>
      <c r="I446" s="44"/>
      <c r="M446" s="26"/>
    </row>
    <row r="447">
      <c r="A447" s="42"/>
      <c r="B447" s="35"/>
      <c r="H447" s="43"/>
      <c r="I447" s="44"/>
      <c r="M447" s="26"/>
    </row>
    <row r="448">
      <c r="A448" s="42"/>
      <c r="B448" s="35"/>
      <c r="H448" s="43"/>
      <c r="I448" s="44"/>
      <c r="M448" s="26"/>
    </row>
    <row r="449">
      <c r="A449" s="42"/>
      <c r="B449" s="35"/>
      <c r="H449" s="43"/>
      <c r="I449" s="44"/>
      <c r="M449" s="26"/>
    </row>
    <row r="450">
      <c r="A450" s="42"/>
      <c r="B450" s="35"/>
      <c r="H450" s="43"/>
      <c r="I450" s="44"/>
      <c r="M450" s="26"/>
    </row>
    <row r="451">
      <c r="A451" s="42"/>
      <c r="B451" s="35"/>
      <c r="H451" s="43"/>
      <c r="I451" s="44"/>
      <c r="M451" s="26"/>
    </row>
    <row r="452">
      <c r="A452" s="42"/>
      <c r="B452" s="35"/>
      <c r="H452" s="43"/>
      <c r="I452" s="44"/>
      <c r="M452" s="26"/>
    </row>
    <row r="453">
      <c r="A453" s="42"/>
      <c r="B453" s="35"/>
      <c r="H453" s="43"/>
      <c r="I453" s="44"/>
      <c r="M453" s="26"/>
    </row>
    <row r="454">
      <c r="A454" s="42"/>
      <c r="B454" s="35"/>
      <c r="H454" s="43"/>
      <c r="I454" s="44"/>
      <c r="M454" s="26"/>
    </row>
    <row r="455">
      <c r="A455" s="42"/>
      <c r="B455" s="35"/>
      <c r="H455" s="43"/>
      <c r="I455" s="44"/>
      <c r="M455" s="26"/>
    </row>
    <row r="456">
      <c r="A456" s="42"/>
      <c r="B456" s="35"/>
      <c r="H456" s="43"/>
      <c r="I456" s="44"/>
      <c r="M456" s="26"/>
    </row>
    <row r="457">
      <c r="A457" s="42"/>
      <c r="B457" s="35"/>
      <c r="H457" s="43"/>
      <c r="I457" s="44"/>
      <c r="M457" s="26"/>
    </row>
    <row r="458">
      <c r="A458" s="42"/>
      <c r="B458" s="35"/>
      <c r="H458" s="43"/>
      <c r="I458" s="44"/>
      <c r="M458" s="26"/>
    </row>
    <row r="459">
      <c r="A459" s="42"/>
      <c r="B459" s="35"/>
      <c r="H459" s="43"/>
      <c r="I459" s="44"/>
      <c r="M459" s="26"/>
    </row>
    <row r="460">
      <c r="A460" s="42"/>
      <c r="B460" s="35"/>
      <c r="H460" s="43"/>
      <c r="I460" s="44"/>
      <c r="M460" s="26"/>
    </row>
    <row r="461">
      <c r="A461" s="42"/>
      <c r="B461" s="35"/>
      <c r="H461" s="43"/>
      <c r="I461" s="44"/>
      <c r="M461" s="26"/>
    </row>
    <row r="462">
      <c r="A462" s="42"/>
      <c r="B462" s="35"/>
      <c r="H462" s="43"/>
      <c r="I462" s="44"/>
      <c r="M462" s="26"/>
    </row>
    <row r="463">
      <c r="A463" s="42"/>
      <c r="B463" s="35"/>
      <c r="H463" s="43"/>
      <c r="I463" s="44"/>
      <c r="M463" s="26"/>
    </row>
    <row r="464">
      <c r="A464" s="42"/>
      <c r="B464" s="35"/>
      <c r="H464" s="43"/>
      <c r="I464" s="44"/>
      <c r="M464" s="26"/>
    </row>
    <row r="465">
      <c r="A465" s="42"/>
      <c r="B465" s="35"/>
      <c r="H465" s="43"/>
      <c r="I465" s="44"/>
      <c r="M465" s="26"/>
    </row>
    <row r="466">
      <c r="A466" s="42"/>
      <c r="B466" s="35"/>
      <c r="H466" s="43"/>
      <c r="I466" s="44"/>
      <c r="M466" s="26"/>
    </row>
    <row r="467">
      <c r="A467" s="42"/>
      <c r="B467" s="35"/>
      <c r="H467" s="43"/>
      <c r="I467" s="44"/>
      <c r="M467" s="26"/>
    </row>
    <row r="468">
      <c r="A468" s="42"/>
      <c r="B468" s="35"/>
      <c r="H468" s="43"/>
      <c r="I468" s="44"/>
      <c r="M468" s="26"/>
    </row>
    <row r="469">
      <c r="A469" s="42"/>
      <c r="B469" s="35"/>
      <c r="H469" s="43"/>
      <c r="I469" s="44"/>
      <c r="M469" s="26"/>
    </row>
    <row r="470">
      <c r="A470" s="42"/>
      <c r="B470" s="35"/>
      <c r="H470" s="43"/>
      <c r="I470" s="44"/>
      <c r="M470" s="26"/>
    </row>
    <row r="471">
      <c r="A471" s="42"/>
      <c r="B471" s="35"/>
      <c r="H471" s="43"/>
      <c r="I471" s="44"/>
      <c r="M471" s="26"/>
    </row>
    <row r="472">
      <c r="A472" s="42"/>
      <c r="B472" s="35"/>
      <c r="H472" s="43"/>
      <c r="I472" s="44"/>
      <c r="M472" s="26"/>
    </row>
    <row r="473">
      <c r="A473" s="42"/>
      <c r="B473" s="35"/>
      <c r="H473" s="43"/>
      <c r="I473" s="44"/>
      <c r="M473" s="26"/>
    </row>
    <row r="474">
      <c r="A474" s="42"/>
      <c r="B474" s="35"/>
      <c r="H474" s="43"/>
      <c r="I474" s="44"/>
      <c r="M474" s="26"/>
    </row>
    <row r="475">
      <c r="A475" s="42"/>
      <c r="B475" s="35"/>
      <c r="H475" s="43"/>
      <c r="I475" s="44"/>
      <c r="M475" s="26"/>
    </row>
    <row r="476">
      <c r="A476" s="42"/>
      <c r="B476" s="35"/>
      <c r="H476" s="43"/>
      <c r="I476" s="44"/>
      <c r="M476" s="26"/>
    </row>
    <row r="477">
      <c r="A477" s="42"/>
      <c r="B477" s="35"/>
      <c r="H477" s="43"/>
      <c r="I477" s="44"/>
      <c r="M477" s="26"/>
    </row>
    <row r="478">
      <c r="A478" s="42"/>
      <c r="B478" s="35"/>
      <c r="H478" s="43"/>
      <c r="I478" s="44"/>
      <c r="M478" s="26"/>
    </row>
    <row r="479">
      <c r="A479" s="42"/>
      <c r="B479" s="35"/>
      <c r="H479" s="43"/>
      <c r="I479" s="44"/>
      <c r="M479" s="26"/>
    </row>
    <row r="480">
      <c r="A480" s="42"/>
      <c r="B480" s="35"/>
      <c r="H480" s="43"/>
      <c r="I480" s="44"/>
      <c r="M480" s="26"/>
    </row>
    <row r="481">
      <c r="A481" s="42"/>
      <c r="B481" s="35"/>
      <c r="H481" s="43"/>
      <c r="I481" s="44"/>
      <c r="M481" s="26"/>
    </row>
    <row r="482">
      <c r="A482" s="42"/>
      <c r="B482" s="35"/>
      <c r="H482" s="43"/>
      <c r="I482" s="44"/>
      <c r="M482" s="26"/>
    </row>
    <row r="483">
      <c r="A483" s="42"/>
      <c r="B483" s="35"/>
      <c r="H483" s="43"/>
      <c r="I483" s="44"/>
      <c r="M483" s="26"/>
    </row>
    <row r="484">
      <c r="A484" s="42"/>
      <c r="B484" s="35"/>
      <c r="H484" s="43"/>
      <c r="I484" s="44"/>
      <c r="M484" s="26"/>
    </row>
    <row r="485">
      <c r="A485" s="42"/>
      <c r="B485" s="35"/>
      <c r="H485" s="43"/>
      <c r="I485" s="44"/>
      <c r="M485" s="26"/>
    </row>
    <row r="486">
      <c r="A486" s="42"/>
      <c r="B486" s="35"/>
      <c r="H486" s="43"/>
      <c r="I486" s="44"/>
      <c r="M486" s="26"/>
    </row>
    <row r="487">
      <c r="A487" s="42"/>
      <c r="B487" s="35"/>
      <c r="H487" s="43"/>
      <c r="I487" s="44"/>
      <c r="M487" s="26"/>
    </row>
    <row r="488">
      <c r="A488" s="42"/>
      <c r="B488" s="35"/>
      <c r="H488" s="43"/>
      <c r="I488" s="44"/>
      <c r="M488" s="26"/>
    </row>
    <row r="489">
      <c r="A489" s="42"/>
      <c r="B489" s="35"/>
      <c r="H489" s="43"/>
      <c r="I489" s="44"/>
      <c r="M489" s="26"/>
    </row>
    <row r="490">
      <c r="A490" s="42"/>
      <c r="B490" s="35"/>
      <c r="H490" s="43"/>
      <c r="I490" s="44"/>
      <c r="M490" s="26"/>
    </row>
    <row r="491">
      <c r="A491" s="42"/>
      <c r="B491" s="35"/>
      <c r="H491" s="43"/>
      <c r="I491" s="44"/>
      <c r="M491" s="26"/>
    </row>
    <row r="492">
      <c r="A492" s="42"/>
      <c r="B492" s="35"/>
      <c r="H492" s="43"/>
      <c r="I492" s="44"/>
      <c r="M492" s="26"/>
    </row>
    <row r="493">
      <c r="A493" s="42"/>
      <c r="B493" s="35"/>
      <c r="H493" s="43"/>
      <c r="I493" s="44"/>
      <c r="M493" s="26"/>
    </row>
    <row r="494">
      <c r="A494" s="42"/>
      <c r="B494" s="35"/>
      <c r="H494" s="43"/>
      <c r="I494" s="44"/>
      <c r="M494" s="26"/>
    </row>
    <row r="495">
      <c r="A495" s="42"/>
      <c r="B495" s="35"/>
      <c r="H495" s="43"/>
      <c r="I495" s="44"/>
      <c r="M495" s="26"/>
    </row>
    <row r="496">
      <c r="A496" s="42"/>
      <c r="B496" s="35"/>
      <c r="H496" s="43"/>
      <c r="I496" s="44"/>
      <c r="M496" s="26"/>
    </row>
    <row r="497">
      <c r="A497" s="42"/>
      <c r="B497" s="35"/>
      <c r="H497" s="43"/>
      <c r="I497" s="44"/>
      <c r="M497" s="26"/>
    </row>
    <row r="498">
      <c r="A498" s="42"/>
      <c r="B498" s="35"/>
      <c r="H498" s="43"/>
      <c r="I498" s="44"/>
      <c r="M498" s="26"/>
    </row>
    <row r="499">
      <c r="A499" s="42"/>
      <c r="B499" s="35"/>
      <c r="H499" s="43"/>
      <c r="I499" s="44"/>
      <c r="M499" s="26"/>
    </row>
    <row r="500">
      <c r="A500" s="42"/>
      <c r="B500" s="35"/>
      <c r="H500" s="43"/>
      <c r="I500" s="44"/>
      <c r="M500" s="26"/>
    </row>
    <row r="501">
      <c r="A501" s="42"/>
      <c r="B501" s="35"/>
      <c r="H501" s="43"/>
      <c r="I501" s="44"/>
      <c r="M501" s="26"/>
    </row>
    <row r="502">
      <c r="A502" s="42"/>
      <c r="B502" s="35"/>
      <c r="H502" s="43"/>
      <c r="I502" s="44"/>
      <c r="M502" s="26"/>
    </row>
    <row r="503">
      <c r="A503" s="42"/>
      <c r="B503" s="35"/>
      <c r="H503" s="43"/>
      <c r="I503" s="44"/>
      <c r="M503" s="26"/>
    </row>
    <row r="504">
      <c r="A504" s="42"/>
      <c r="B504" s="35"/>
      <c r="H504" s="43"/>
      <c r="I504" s="44"/>
      <c r="M504" s="26"/>
    </row>
    <row r="505">
      <c r="A505" s="42"/>
      <c r="B505" s="35"/>
      <c r="H505" s="43"/>
      <c r="I505" s="44"/>
      <c r="M505" s="26"/>
    </row>
    <row r="506">
      <c r="A506" s="42"/>
      <c r="B506" s="35"/>
      <c r="H506" s="43"/>
      <c r="I506" s="44"/>
      <c r="M506" s="26"/>
    </row>
    <row r="507">
      <c r="A507" s="42"/>
      <c r="B507" s="35"/>
      <c r="H507" s="43"/>
      <c r="I507" s="44"/>
      <c r="M507" s="26"/>
    </row>
    <row r="508">
      <c r="A508" s="42"/>
      <c r="B508" s="35"/>
      <c r="H508" s="43"/>
      <c r="I508" s="44"/>
      <c r="M508" s="26"/>
    </row>
    <row r="509">
      <c r="A509" s="42"/>
      <c r="B509" s="35"/>
      <c r="H509" s="43"/>
      <c r="I509" s="44"/>
      <c r="M509" s="26"/>
    </row>
    <row r="510">
      <c r="A510" s="42"/>
      <c r="B510" s="35"/>
      <c r="H510" s="43"/>
      <c r="I510" s="44"/>
      <c r="M510" s="26"/>
    </row>
    <row r="511">
      <c r="A511" s="42"/>
      <c r="B511" s="35"/>
      <c r="H511" s="43"/>
      <c r="I511" s="44"/>
      <c r="M511" s="26"/>
    </row>
    <row r="512">
      <c r="A512" s="42"/>
      <c r="B512" s="35"/>
      <c r="H512" s="43"/>
      <c r="I512" s="44"/>
      <c r="M512" s="26"/>
    </row>
    <row r="513">
      <c r="A513" s="42"/>
      <c r="B513" s="35"/>
      <c r="H513" s="43"/>
      <c r="I513" s="44"/>
      <c r="M513" s="26"/>
    </row>
    <row r="514">
      <c r="A514" s="42"/>
      <c r="B514" s="35"/>
      <c r="H514" s="43"/>
      <c r="I514" s="44"/>
      <c r="M514" s="26"/>
    </row>
    <row r="515">
      <c r="A515" s="42"/>
      <c r="B515" s="35"/>
      <c r="H515" s="43"/>
      <c r="I515" s="44"/>
      <c r="M515" s="26"/>
    </row>
    <row r="516">
      <c r="A516" s="42"/>
      <c r="B516" s="35"/>
      <c r="H516" s="43"/>
      <c r="I516" s="44"/>
      <c r="M516" s="26"/>
    </row>
    <row r="517">
      <c r="A517" s="42"/>
      <c r="B517" s="35"/>
      <c r="H517" s="43"/>
      <c r="I517" s="44"/>
      <c r="M517" s="26"/>
    </row>
    <row r="518">
      <c r="A518" s="42"/>
      <c r="B518" s="35"/>
      <c r="H518" s="43"/>
      <c r="I518" s="44"/>
      <c r="M518" s="26"/>
    </row>
    <row r="519">
      <c r="A519" s="42"/>
      <c r="B519" s="35"/>
      <c r="H519" s="43"/>
      <c r="I519" s="44"/>
      <c r="M519" s="26"/>
    </row>
    <row r="520">
      <c r="A520" s="42"/>
      <c r="B520" s="35"/>
      <c r="H520" s="43"/>
      <c r="I520" s="44"/>
      <c r="M520" s="26"/>
    </row>
    <row r="521">
      <c r="A521" s="42"/>
      <c r="B521" s="35"/>
      <c r="H521" s="43"/>
      <c r="I521" s="44"/>
      <c r="M521" s="26"/>
    </row>
    <row r="522">
      <c r="A522" s="42"/>
      <c r="B522" s="35"/>
      <c r="H522" s="43"/>
      <c r="I522" s="44"/>
      <c r="M522" s="26"/>
    </row>
    <row r="523">
      <c r="A523" s="42"/>
      <c r="B523" s="35"/>
      <c r="H523" s="43"/>
      <c r="I523" s="44"/>
      <c r="M523" s="26"/>
    </row>
    <row r="524">
      <c r="A524" s="42"/>
      <c r="B524" s="35"/>
      <c r="H524" s="43"/>
      <c r="I524" s="44"/>
      <c r="M524" s="26"/>
    </row>
    <row r="525">
      <c r="A525" s="42"/>
      <c r="B525" s="35"/>
      <c r="H525" s="43"/>
      <c r="I525" s="44"/>
      <c r="M525" s="26"/>
    </row>
    <row r="526">
      <c r="A526" s="42"/>
      <c r="B526" s="35"/>
      <c r="H526" s="43"/>
      <c r="I526" s="44"/>
      <c r="M526" s="26"/>
    </row>
    <row r="527">
      <c r="A527" s="42"/>
      <c r="B527" s="35"/>
      <c r="H527" s="43"/>
      <c r="I527" s="44"/>
      <c r="M527" s="26"/>
    </row>
    <row r="528">
      <c r="A528" s="42"/>
      <c r="B528" s="35"/>
      <c r="H528" s="43"/>
      <c r="I528" s="44"/>
      <c r="M528" s="26"/>
    </row>
    <row r="529">
      <c r="A529" s="42"/>
      <c r="B529" s="35"/>
      <c r="H529" s="43"/>
      <c r="I529" s="44"/>
      <c r="M529" s="26"/>
    </row>
    <row r="530">
      <c r="A530" s="42"/>
      <c r="B530" s="35"/>
      <c r="H530" s="43"/>
      <c r="I530" s="44"/>
      <c r="M530" s="26"/>
    </row>
    <row r="531">
      <c r="A531" s="42"/>
      <c r="B531" s="35"/>
      <c r="H531" s="43"/>
      <c r="I531" s="44"/>
      <c r="M531" s="26"/>
    </row>
    <row r="532">
      <c r="A532" s="42"/>
      <c r="B532" s="35"/>
      <c r="H532" s="43"/>
      <c r="I532" s="44"/>
      <c r="M532" s="26"/>
    </row>
    <row r="533">
      <c r="A533" s="42"/>
      <c r="B533" s="35"/>
      <c r="H533" s="43"/>
      <c r="I533" s="44"/>
      <c r="M533" s="26"/>
    </row>
    <row r="534">
      <c r="A534" s="42"/>
      <c r="B534" s="35"/>
      <c r="H534" s="43"/>
      <c r="I534" s="44"/>
      <c r="M534" s="26"/>
    </row>
    <row r="535">
      <c r="A535" s="42"/>
      <c r="B535" s="35"/>
      <c r="H535" s="43"/>
      <c r="I535" s="44"/>
      <c r="M535" s="26"/>
    </row>
    <row r="536">
      <c r="A536" s="42"/>
      <c r="B536" s="35"/>
      <c r="H536" s="43"/>
      <c r="I536" s="44"/>
      <c r="M536" s="26"/>
    </row>
    <row r="537">
      <c r="A537" s="42"/>
      <c r="B537" s="35"/>
      <c r="H537" s="43"/>
      <c r="I537" s="44"/>
      <c r="M537" s="26"/>
    </row>
    <row r="538">
      <c r="A538" s="42"/>
      <c r="B538" s="35"/>
      <c r="H538" s="43"/>
      <c r="I538" s="44"/>
      <c r="M538" s="26"/>
    </row>
    <row r="539">
      <c r="A539" s="42"/>
      <c r="B539" s="35"/>
      <c r="H539" s="43"/>
      <c r="I539" s="44"/>
      <c r="M539" s="26"/>
    </row>
    <row r="540">
      <c r="A540" s="42"/>
      <c r="B540" s="35"/>
      <c r="H540" s="43"/>
      <c r="I540" s="44"/>
      <c r="M540" s="26"/>
    </row>
    <row r="541">
      <c r="A541" s="42"/>
      <c r="B541" s="35"/>
      <c r="H541" s="43"/>
      <c r="I541" s="44"/>
      <c r="M541" s="26"/>
    </row>
    <row r="542">
      <c r="A542" s="42"/>
      <c r="B542" s="35"/>
      <c r="H542" s="43"/>
      <c r="I542" s="44"/>
      <c r="M542" s="26"/>
    </row>
    <row r="543">
      <c r="A543" s="42"/>
      <c r="B543" s="35"/>
      <c r="H543" s="43"/>
      <c r="I543" s="44"/>
      <c r="M543" s="26"/>
    </row>
    <row r="544">
      <c r="A544" s="42"/>
      <c r="B544" s="35"/>
      <c r="H544" s="43"/>
      <c r="I544" s="44"/>
      <c r="M544" s="26"/>
    </row>
    <row r="545">
      <c r="A545" s="42"/>
      <c r="B545" s="35"/>
      <c r="H545" s="43"/>
      <c r="I545" s="44"/>
      <c r="M545" s="26"/>
    </row>
    <row r="546">
      <c r="A546" s="42"/>
      <c r="B546" s="35"/>
      <c r="H546" s="43"/>
      <c r="I546" s="44"/>
      <c r="M546" s="26"/>
    </row>
    <row r="547">
      <c r="A547" s="42"/>
      <c r="B547" s="35"/>
      <c r="H547" s="43"/>
      <c r="I547" s="44"/>
      <c r="M547" s="26"/>
    </row>
    <row r="548">
      <c r="A548" s="42"/>
      <c r="B548" s="35"/>
      <c r="H548" s="43"/>
      <c r="I548" s="44"/>
      <c r="M548" s="26"/>
    </row>
    <row r="549">
      <c r="A549" s="42"/>
      <c r="B549" s="35"/>
      <c r="H549" s="43"/>
      <c r="I549" s="44"/>
      <c r="M549" s="26"/>
    </row>
    <row r="550">
      <c r="A550" s="42"/>
      <c r="B550" s="35"/>
      <c r="H550" s="43"/>
      <c r="I550" s="44"/>
      <c r="M550" s="26"/>
    </row>
    <row r="551">
      <c r="A551" s="42"/>
      <c r="B551" s="35"/>
      <c r="H551" s="43"/>
      <c r="I551" s="44"/>
      <c r="M551" s="26"/>
    </row>
    <row r="552">
      <c r="A552" s="42"/>
      <c r="B552" s="35"/>
      <c r="H552" s="43"/>
      <c r="I552" s="44"/>
      <c r="M552" s="26"/>
    </row>
    <row r="553">
      <c r="A553" s="42"/>
      <c r="B553" s="35"/>
      <c r="H553" s="43"/>
      <c r="I553" s="44"/>
      <c r="M553" s="26"/>
    </row>
    <row r="554">
      <c r="A554" s="42"/>
      <c r="B554" s="35"/>
      <c r="H554" s="43"/>
      <c r="I554" s="44"/>
      <c r="M554" s="26"/>
    </row>
    <row r="555">
      <c r="A555" s="42"/>
      <c r="B555" s="35"/>
      <c r="H555" s="43"/>
      <c r="I555" s="44"/>
      <c r="M555" s="26"/>
    </row>
    <row r="556">
      <c r="A556" s="42"/>
      <c r="B556" s="35"/>
      <c r="H556" s="43"/>
      <c r="I556" s="44"/>
      <c r="M556" s="26"/>
    </row>
    <row r="557">
      <c r="A557" s="42"/>
      <c r="B557" s="35"/>
      <c r="H557" s="43"/>
      <c r="I557" s="44"/>
      <c r="M557" s="26"/>
    </row>
    <row r="558">
      <c r="A558" s="42"/>
      <c r="B558" s="35"/>
      <c r="H558" s="43"/>
      <c r="I558" s="44"/>
      <c r="M558" s="26"/>
    </row>
    <row r="559">
      <c r="A559" s="42"/>
      <c r="B559" s="35"/>
      <c r="H559" s="43"/>
      <c r="I559" s="44"/>
      <c r="M559" s="26"/>
    </row>
    <row r="560">
      <c r="A560" s="42"/>
      <c r="B560" s="35"/>
      <c r="H560" s="43"/>
      <c r="I560" s="44"/>
      <c r="M560" s="26"/>
    </row>
    <row r="561">
      <c r="A561" s="42"/>
      <c r="B561" s="35"/>
      <c r="H561" s="43"/>
      <c r="I561" s="44"/>
      <c r="M561" s="26"/>
    </row>
    <row r="562">
      <c r="A562" s="42"/>
      <c r="B562" s="35"/>
      <c r="H562" s="43"/>
      <c r="I562" s="44"/>
      <c r="M562" s="26"/>
    </row>
    <row r="563">
      <c r="A563" s="42"/>
      <c r="B563" s="35"/>
      <c r="H563" s="43"/>
      <c r="I563" s="44"/>
      <c r="M563" s="26"/>
    </row>
    <row r="564">
      <c r="A564" s="42"/>
      <c r="B564" s="35"/>
      <c r="H564" s="43"/>
      <c r="I564" s="44"/>
      <c r="M564" s="26"/>
    </row>
    <row r="565">
      <c r="A565" s="42"/>
      <c r="B565" s="35"/>
      <c r="H565" s="43"/>
      <c r="I565" s="44"/>
      <c r="M565" s="26"/>
    </row>
    <row r="566">
      <c r="A566" s="42"/>
      <c r="B566" s="35"/>
      <c r="H566" s="43"/>
      <c r="I566" s="44"/>
      <c r="M566" s="26"/>
    </row>
    <row r="567">
      <c r="A567" s="42"/>
      <c r="B567" s="35"/>
      <c r="H567" s="43"/>
      <c r="I567" s="44"/>
      <c r="M567" s="26"/>
    </row>
    <row r="568">
      <c r="A568" s="42"/>
      <c r="B568" s="35"/>
      <c r="H568" s="43"/>
      <c r="I568" s="44"/>
      <c r="M568" s="26"/>
    </row>
    <row r="569">
      <c r="A569" s="42"/>
      <c r="B569" s="35"/>
      <c r="H569" s="43"/>
      <c r="I569" s="44"/>
      <c r="M569" s="26"/>
    </row>
    <row r="570">
      <c r="A570" s="42"/>
      <c r="B570" s="35"/>
      <c r="H570" s="43"/>
      <c r="I570" s="44"/>
      <c r="M570" s="26"/>
    </row>
    <row r="571">
      <c r="A571" s="42"/>
      <c r="B571" s="35"/>
      <c r="H571" s="43"/>
      <c r="I571" s="44"/>
      <c r="M571" s="26"/>
    </row>
    <row r="572">
      <c r="A572" s="42"/>
      <c r="B572" s="35"/>
      <c r="H572" s="43"/>
      <c r="I572" s="44"/>
      <c r="M572" s="26"/>
    </row>
    <row r="573">
      <c r="A573" s="42"/>
      <c r="B573" s="35"/>
      <c r="H573" s="43"/>
      <c r="I573" s="44"/>
      <c r="M573" s="26"/>
    </row>
    <row r="574">
      <c r="A574" s="42"/>
      <c r="B574" s="35"/>
      <c r="H574" s="43"/>
      <c r="I574" s="44"/>
      <c r="M574" s="26"/>
    </row>
    <row r="575">
      <c r="A575" s="42"/>
      <c r="B575" s="35"/>
      <c r="H575" s="43"/>
      <c r="I575" s="44"/>
      <c r="M575" s="26"/>
    </row>
    <row r="576">
      <c r="A576" s="42"/>
      <c r="B576" s="35"/>
      <c r="H576" s="43"/>
      <c r="I576" s="44"/>
      <c r="M576" s="26"/>
    </row>
    <row r="577">
      <c r="A577" s="42"/>
      <c r="B577" s="35"/>
      <c r="H577" s="43"/>
      <c r="I577" s="44"/>
      <c r="M577" s="26"/>
    </row>
    <row r="578">
      <c r="A578" s="42"/>
      <c r="B578" s="35"/>
      <c r="H578" s="43"/>
      <c r="I578" s="44"/>
      <c r="M578" s="26"/>
    </row>
    <row r="579">
      <c r="A579" s="42"/>
      <c r="B579" s="35"/>
      <c r="H579" s="43"/>
      <c r="I579" s="44"/>
      <c r="M579" s="26"/>
    </row>
    <row r="580">
      <c r="A580" s="42"/>
      <c r="B580" s="35"/>
      <c r="H580" s="43"/>
      <c r="I580" s="44"/>
      <c r="M580" s="26"/>
    </row>
    <row r="581">
      <c r="A581" s="42"/>
      <c r="B581" s="35"/>
      <c r="H581" s="43"/>
      <c r="I581" s="44"/>
      <c r="M581" s="26"/>
    </row>
    <row r="582">
      <c r="A582" s="42"/>
      <c r="B582" s="35"/>
      <c r="H582" s="43"/>
      <c r="I582" s="44"/>
      <c r="M582" s="26"/>
    </row>
    <row r="583">
      <c r="A583" s="42"/>
      <c r="B583" s="35"/>
      <c r="H583" s="43"/>
      <c r="I583" s="44"/>
      <c r="M583" s="26"/>
    </row>
    <row r="584">
      <c r="A584" s="42"/>
      <c r="B584" s="35"/>
      <c r="H584" s="43"/>
      <c r="I584" s="44"/>
      <c r="M584" s="26"/>
    </row>
    <row r="585">
      <c r="A585" s="42"/>
      <c r="B585" s="35"/>
      <c r="H585" s="43"/>
      <c r="I585" s="44"/>
      <c r="M585" s="26"/>
    </row>
    <row r="586">
      <c r="A586" s="42"/>
      <c r="B586" s="35"/>
      <c r="H586" s="43"/>
      <c r="I586" s="44"/>
      <c r="M586" s="26"/>
    </row>
    <row r="587">
      <c r="A587" s="42"/>
      <c r="B587" s="35"/>
      <c r="H587" s="43"/>
      <c r="I587" s="44"/>
      <c r="M587" s="26"/>
    </row>
    <row r="588">
      <c r="A588" s="42"/>
      <c r="B588" s="35"/>
      <c r="H588" s="43"/>
      <c r="I588" s="44"/>
      <c r="M588" s="26"/>
    </row>
    <row r="589">
      <c r="A589" s="42"/>
      <c r="B589" s="35"/>
      <c r="H589" s="43"/>
      <c r="I589" s="44"/>
      <c r="M589" s="26"/>
    </row>
    <row r="590">
      <c r="A590" s="42"/>
      <c r="B590" s="35"/>
      <c r="H590" s="43"/>
      <c r="I590" s="44"/>
      <c r="M590" s="26"/>
    </row>
    <row r="591">
      <c r="A591" s="42"/>
      <c r="B591" s="35"/>
      <c r="H591" s="43"/>
      <c r="I591" s="44"/>
      <c r="M591" s="26"/>
    </row>
    <row r="592">
      <c r="A592" s="42"/>
      <c r="B592" s="35"/>
      <c r="H592" s="43"/>
      <c r="I592" s="44"/>
      <c r="M592" s="26"/>
    </row>
    <row r="593">
      <c r="A593" s="42"/>
      <c r="B593" s="35"/>
      <c r="H593" s="43"/>
      <c r="I593" s="44"/>
      <c r="M593" s="26"/>
    </row>
    <row r="594">
      <c r="A594" s="42"/>
      <c r="B594" s="35"/>
      <c r="H594" s="43"/>
      <c r="I594" s="44"/>
      <c r="M594" s="26"/>
    </row>
    <row r="595">
      <c r="A595" s="42"/>
      <c r="B595" s="35"/>
      <c r="H595" s="43"/>
      <c r="I595" s="44"/>
      <c r="M595" s="26"/>
    </row>
    <row r="596">
      <c r="A596" s="42"/>
      <c r="B596" s="35"/>
      <c r="H596" s="43"/>
      <c r="I596" s="44"/>
      <c r="M596" s="26"/>
    </row>
    <row r="597">
      <c r="A597" s="42"/>
      <c r="B597" s="35"/>
      <c r="H597" s="43"/>
      <c r="I597" s="44"/>
      <c r="M597" s="26"/>
    </row>
    <row r="598">
      <c r="A598" s="42"/>
      <c r="B598" s="35"/>
      <c r="H598" s="43"/>
      <c r="I598" s="44"/>
      <c r="M598" s="26"/>
    </row>
    <row r="599">
      <c r="A599" s="42"/>
      <c r="B599" s="35"/>
      <c r="H599" s="43"/>
      <c r="I599" s="44"/>
      <c r="M599" s="26"/>
    </row>
    <row r="600">
      <c r="A600" s="42"/>
      <c r="B600" s="35"/>
      <c r="H600" s="43"/>
      <c r="I600" s="44"/>
      <c r="M600" s="26"/>
    </row>
    <row r="601">
      <c r="A601" s="42"/>
      <c r="B601" s="35"/>
      <c r="H601" s="43"/>
      <c r="I601" s="44"/>
      <c r="M601" s="26"/>
    </row>
    <row r="602">
      <c r="A602" s="42"/>
      <c r="B602" s="35"/>
      <c r="H602" s="43"/>
      <c r="I602" s="44"/>
      <c r="M602" s="26"/>
    </row>
    <row r="603">
      <c r="A603" s="42"/>
      <c r="B603" s="35"/>
      <c r="H603" s="43"/>
      <c r="I603" s="44"/>
      <c r="M603" s="26"/>
    </row>
    <row r="604">
      <c r="A604" s="42"/>
      <c r="B604" s="35"/>
      <c r="H604" s="43"/>
      <c r="I604" s="44"/>
      <c r="M604" s="26"/>
    </row>
    <row r="605">
      <c r="A605" s="42"/>
      <c r="B605" s="35"/>
      <c r="H605" s="43"/>
      <c r="I605" s="44"/>
      <c r="M605" s="26"/>
    </row>
    <row r="606">
      <c r="A606" s="42"/>
      <c r="B606" s="35"/>
      <c r="H606" s="43"/>
      <c r="I606" s="44"/>
      <c r="M606" s="26"/>
    </row>
    <row r="607">
      <c r="A607" s="42"/>
      <c r="B607" s="35"/>
      <c r="H607" s="43"/>
      <c r="I607" s="44"/>
      <c r="M607" s="26"/>
    </row>
    <row r="608">
      <c r="A608" s="42"/>
      <c r="B608" s="35"/>
      <c r="H608" s="43"/>
      <c r="I608" s="44"/>
      <c r="M608" s="26"/>
    </row>
    <row r="609">
      <c r="A609" s="42"/>
      <c r="B609" s="35"/>
      <c r="H609" s="43"/>
      <c r="I609" s="44"/>
      <c r="M609" s="26"/>
    </row>
    <row r="610">
      <c r="A610" s="42"/>
      <c r="B610" s="35"/>
      <c r="H610" s="43"/>
      <c r="I610" s="44"/>
      <c r="M610" s="26"/>
    </row>
    <row r="611">
      <c r="A611" s="42"/>
      <c r="B611" s="35"/>
      <c r="H611" s="43"/>
      <c r="I611" s="44"/>
      <c r="M611" s="26"/>
    </row>
    <row r="612">
      <c r="A612" s="42"/>
      <c r="B612" s="35"/>
      <c r="H612" s="43"/>
      <c r="I612" s="44"/>
      <c r="M612" s="26"/>
    </row>
    <row r="613">
      <c r="A613" s="42"/>
      <c r="B613" s="35"/>
      <c r="H613" s="43"/>
      <c r="I613" s="44"/>
      <c r="M613" s="26"/>
    </row>
    <row r="614">
      <c r="A614" s="42"/>
      <c r="B614" s="35"/>
      <c r="H614" s="43"/>
      <c r="I614" s="44"/>
      <c r="M614" s="26"/>
    </row>
    <row r="615">
      <c r="A615" s="42"/>
      <c r="B615" s="35"/>
      <c r="H615" s="43"/>
      <c r="I615" s="44"/>
      <c r="M615" s="26"/>
    </row>
    <row r="616">
      <c r="A616" s="42"/>
      <c r="B616" s="35"/>
      <c r="H616" s="43"/>
      <c r="I616" s="44"/>
      <c r="M616" s="26"/>
    </row>
    <row r="617">
      <c r="A617" s="42"/>
      <c r="B617" s="35"/>
      <c r="H617" s="43"/>
      <c r="I617" s="44"/>
      <c r="M617" s="26"/>
    </row>
    <row r="618">
      <c r="A618" s="42"/>
      <c r="B618" s="35"/>
      <c r="H618" s="43"/>
      <c r="I618" s="44"/>
      <c r="M618" s="26"/>
    </row>
    <row r="619">
      <c r="A619" s="42"/>
      <c r="B619" s="35"/>
      <c r="H619" s="43"/>
      <c r="I619" s="44"/>
      <c r="M619" s="26"/>
    </row>
    <row r="620">
      <c r="A620" s="42"/>
      <c r="B620" s="35"/>
      <c r="H620" s="43"/>
      <c r="I620" s="44"/>
      <c r="M620" s="26"/>
    </row>
    <row r="621">
      <c r="A621" s="42"/>
      <c r="B621" s="35"/>
      <c r="H621" s="43"/>
      <c r="I621" s="44"/>
      <c r="M621" s="26"/>
    </row>
    <row r="622">
      <c r="A622" s="42"/>
      <c r="B622" s="35"/>
      <c r="H622" s="43"/>
      <c r="I622" s="44"/>
      <c r="M622" s="26"/>
    </row>
    <row r="623">
      <c r="A623" s="42"/>
      <c r="B623" s="35"/>
      <c r="H623" s="43"/>
      <c r="I623" s="44"/>
      <c r="M623" s="26"/>
    </row>
    <row r="624">
      <c r="A624" s="42"/>
      <c r="B624" s="35"/>
      <c r="H624" s="43"/>
      <c r="I624" s="44"/>
      <c r="M624" s="26"/>
    </row>
    <row r="625">
      <c r="A625" s="42"/>
      <c r="B625" s="35"/>
      <c r="H625" s="43"/>
      <c r="I625" s="44"/>
      <c r="M625" s="26"/>
    </row>
    <row r="626">
      <c r="A626" s="42"/>
      <c r="B626" s="35"/>
      <c r="H626" s="43"/>
      <c r="I626" s="44"/>
      <c r="M626" s="26"/>
    </row>
    <row r="627">
      <c r="A627" s="42"/>
      <c r="B627" s="35"/>
      <c r="H627" s="43"/>
      <c r="I627" s="44"/>
      <c r="M627" s="26"/>
    </row>
    <row r="628">
      <c r="A628" s="42"/>
      <c r="B628" s="35"/>
      <c r="H628" s="43"/>
      <c r="I628" s="44"/>
      <c r="M628" s="26"/>
    </row>
    <row r="629">
      <c r="A629" s="42"/>
      <c r="B629" s="35"/>
      <c r="H629" s="43"/>
      <c r="I629" s="44"/>
      <c r="M629" s="26"/>
    </row>
    <row r="630">
      <c r="A630" s="42"/>
      <c r="B630" s="35"/>
      <c r="H630" s="43"/>
      <c r="I630" s="44"/>
      <c r="M630" s="26"/>
    </row>
    <row r="631">
      <c r="A631" s="42"/>
      <c r="B631" s="35"/>
      <c r="H631" s="43"/>
      <c r="I631" s="44"/>
      <c r="M631" s="26"/>
    </row>
    <row r="632">
      <c r="A632" s="42"/>
      <c r="B632" s="35"/>
      <c r="H632" s="43"/>
      <c r="I632" s="44"/>
      <c r="M632" s="26"/>
    </row>
    <row r="633">
      <c r="A633" s="42"/>
      <c r="B633" s="35"/>
      <c r="H633" s="43"/>
      <c r="I633" s="44"/>
      <c r="M633" s="26"/>
    </row>
    <row r="634">
      <c r="A634" s="42"/>
      <c r="B634" s="35"/>
      <c r="H634" s="43"/>
      <c r="I634" s="44"/>
      <c r="M634" s="26"/>
    </row>
    <row r="635">
      <c r="A635" s="42"/>
      <c r="B635" s="35"/>
      <c r="H635" s="43"/>
      <c r="I635" s="44"/>
      <c r="M635" s="26"/>
    </row>
    <row r="636">
      <c r="A636" s="42"/>
      <c r="B636" s="35"/>
      <c r="H636" s="43"/>
      <c r="I636" s="44"/>
      <c r="M636" s="26"/>
    </row>
    <row r="637">
      <c r="A637" s="42"/>
      <c r="B637" s="35"/>
      <c r="H637" s="43"/>
      <c r="I637" s="44"/>
      <c r="M637" s="26"/>
    </row>
    <row r="638">
      <c r="A638" s="42"/>
      <c r="B638" s="35"/>
      <c r="H638" s="43"/>
      <c r="I638" s="44"/>
      <c r="M638" s="26"/>
    </row>
    <row r="639">
      <c r="A639" s="42"/>
      <c r="B639" s="35"/>
      <c r="H639" s="43"/>
      <c r="I639" s="44"/>
      <c r="M639" s="26"/>
    </row>
    <row r="640">
      <c r="A640" s="42"/>
      <c r="B640" s="35"/>
      <c r="H640" s="43"/>
      <c r="I640" s="44"/>
      <c r="M640" s="26"/>
    </row>
    <row r="641">
      <c r="A641" s="42"/>
      <c r="B641" s="35"/>
      <c r="H641" s="43"/>
      <c r="I641" s="44"/>
      <c r="M641" s="26"/>
    </row>
    <row r="642">
      <c r="A642" s="42"/>
      <c r="B642" s="35"/>
      <c r="H642" s="43"/>
      <c r="I642" s="44"/>
      <c r="M642" s="26"/>
    </row>
    <row r="643">
      <c r="A643" s="42"/>
      <c r="B643" s="35"/>
      <c r="H643" s="43"/>
      <c r="I643" s="44"/>
      <c r="M643" s="26"/>
    </row>
    <row r="644">
      <c r="A644" s="42"/>
      <c r="B644" s="35"/>
      <c r="H644" s="43"/>
      <c r="I644" s="44"/>
      <c r="M644" s="26"/>
    </row>
    <row r="645">
      <c r="A645" s="42"/>
      <c r="B645" s="35"/>
      <c r="H645" s="43"/>
      <c r="I645" s="44"/>
      <c r="M645" s="26"/>
    </row>
    <row r="646">
      <c r="A646" s="42"/>
      <c r="B646" s="35"/>
      <c r="H646" s="43"/>
      <c r="I646" s="44"/>
      <c r="M646" s="26"/>
    </row>
    <row r="647">
      <c r="A647" s="42"/>
      <c r="B647" s="35"/>
      <c r="H647" s="43"/>
      <c r="I647" s="44"/>
      <c r="M647" s="26"/>
    </row>
    <row r="648">
      <c r="A648" s="42"/>
      <c r="B648" s="35"/>
      <c r="H648" s="43"/>
      <c r="I648" s="44"/>
      <c r="M648" s="26"/>
    </row>
    <row r="649">
      <c r="A649" s="42"/>
      <c r="B649" s="35"/>
      <c r="H649" s="43"/>
      <c r="I649" s="44"/>
      <c r="M649" s="26"/>
    </row>
    <row r="650">
      <c r="A650" s="42"/>
      <c r="B650" s="35"/>
      <c r="H650" s="43"/>
      <c r="I650" s="44"/>
      <c r="M650" s="26"/>
    </row>
    <row r="651">
      <c r="A651" s="42"/>
      <c r="B651" s="35"/>
      <c r="H651" s="43"/>
      <c r="I651" s="44"/>
      <c r="M651" s="26"/>
    </row>
    <row r="652">
      <c r="A652" s="42"/>
      <c r="B652" s="35"/>
      <c r="H652" s="43"/>
      <c r="I652" s="44"/>
      <c r="M652" s="26"/>
    </row>
    <row r="653">
      <c r="A653" s="42"/>
      <c r="B653" s="35"/>
      <c r="H653" s="43"/>
      <c r="I653" s="44"/>
      <c r="M653" s="26"/>
    </row>
    <row r="654">
      <c r="A654" s="42"/>
      <c r="B654" s="35"/>
      <c r="H654" s="43"/>
      <c r="I654" s="44"/>
      <c r="M654" s="26"/>
    </row>
    <row r="655">
      <c r="A655" s="42"/>
      <c r="B655" s="35"/>
      <c r="H655" s="43"/>
      <c r="I655" s="44"/>
      <c r="M655" s="26"/>
    </row>
    <row r="656">
      <c r="A656" s="42"/>
      <c r="B656" s="35"/>
      <c r="H656" s="43"/>
      <c r="I656" s="44"/>
      <c r="M656" s="26"/>
    </row>
    <row r="657">
      <c r="A657" s="42"/>
      <c r="B657" s="35"/>
      <c r="H657" s="43"/>
      <c r="I657" s="44"/>
      <c r="M657" s="26"/>
    </row>
    <row r="658">
      <c r="A658" s="42"/>
      <c r="B658" s="35"/>
      <c r="H658" s="43"/>
      <c r="I658" s="44"/>
      <c r="M658" s="26"/>
    </row>
    <row r="659">
      <c r="A659" s="42"/>
      <c r="B659" s="35"/>
      <c r="H659" s="43"/>
      <c r="I659" s="44"/>
      <c r="M659" s="26"/>
    </row>
    <row r="660">
      <c r="A660" s="42"/>
      <c r="B660" s="35"/>
      <c r="H660" s="43"/>
      <c r="I660" s="44"/>
      <c r="M660" s="26"/>
    </row>
    <row r="661">
      <c r="A661" s="42"/>
      <c r="B661" s="35"/>
      <c r="H661" s="43"/>
      <c r="I661" s="44"/>
      <c r="M661" s="26"/>
    </row>
    <row r="662">
      <c r="A662" s="42"/>
      <c r="B662" s="35"/>
      <c r="H662" s="43"/>
      <c r="I662" s="44"/>
      <c r="M662" s="26"/>
    </row>
    <row r="663">
      <c r="A663" s="42"/>
      <c r="B663" s="35"/>
      <c r="H663" s="43"/>
      <c r="I663" s="44"/>
      <c r="M663" s="26"/>
    </row>
    <row r="664">
      <c r="A664" s="42"/>
      <c r="B664" s="35"/>
      <c r="H664" s="43"/>
      <c r="I664" s="44"/>
      <c r="M664" s="26"/>
    </row>
    <row r="665">
      <c r="A665" s="42"/>
      <c r="B665" s="35"/>
      <c r="H665" s="43"/>
      <c r="I665" s="44"/>
      <c r="M665" s="26"/>
    </row>
    <row r="666">
      <c r="A666" s="42"/>
      <c r="B666" s="35"/>
      <c r="H666" s="43"/>
      <c r="I666" s="44"/>
      <c r="M666" s="26"/>
    </row>
    <row r="667">
      <c r="A667" s="42"/>
      <c r="B667" s="35"/>
      <c r="H667" s="43"/>
      <c r="I667" s="44"/>
      <c r="M667" s="26"/>
    </row>
    <row r="668">
      <c r="A668" s="42"/>
      <c r="B668" s="35"/>
      <c r="H668" s="43"/>
      <c r="I668" s="44"/>
      <c r="M668" s="26"/>
    </row>
    <row r="669">
      <c r="A669" s="42"/>
      <c r="B669" s="35"/>
      <c r="H669" s="43"/>
      <c r="I669" s="44"/>
      <c r="M669" s="26"/>
    </row>
    <row r="670">
      <c r="A670" s="42"/>
      <c r="B670" s="35"/>
      <c r="H670" s="43"/>
      <c r="I670" s="44"/>
      <c r="M670" s="26"/>
    </row>
    <row r="671">
      <c r="A671" s="42"/>
      <c r="B671" s="35"/>
      <c r="H671" s="43"/>
      <c r="I671" s="44"/>
      <c r="M671" s="26"/>
    </row>
    <row r="672">
      <c r="A672" s="42"/>
      <c r="B672" s="35"/>
      <c r="H672" s="43"/>
      <c r="I672" s="44"/>
      <c r="M672" s="26"/>
    </row>
    <row r="673">
      <c r="A673" s="42"/>
      <c r="B673" s="35"/>
      <c r="H673" s="43"/>
      <c r="I673" s="44"/>
      <c r="M673" s="26"/>
    </row>
    <row r="674">
      <c r="A674" s="42"/>
      <c r="B674" s="35"/>
      <c r="H674" s="43"/>
      <c r="I674" s="44"/>
      <c r="M674" s="26"/>
    </row>
    <row r="675">
      <c r="A675" s="42"/>
      <c r="B675" s="35"/>
      <c r="H675" s="43"/>
      <c r="I675" s="44"/>
      <c r="M675" s="26"/>
    </row>
    <row r="676">
      <c r="A676" s="42"/>
      <c r="B676" s="35"/>
      <c r="H676" s="43"/>
      <c r="I676" s="44"/>
      <c r="M676" s="26"/>
    </row>
    <row r="677">
      <c r="A677" s="42"/>
      <c r="B677" s="35"/>
      <c r="H677" s="43"/>
      <c r="I677" s="44"/>
      <c r="M677" s="26"/>
    </row>
    <row r="678">
      <c r="A678" s="42"/>
      <c r="B678" s="35"/>
      <c r="H678" s="43"/>
      <c r="I678" s="44"/>
      <c r="M678" s="26"/>
    </row>
    <row r="679">
      <c r="A679" s="42"/>
      <c r="B679" s="35"/>
      <c r="H679" s="43"/>
      <c r="I679" s="44"/>
      <c r="M679" s="26"/>
    </row>
    <row r="680">
      <c r="A680" s="42"/>
      <c r="B680" s="35"/>
      <c r="H680" s="43"/>
      <c r="I680" s="44"/>
      <c r="M680" s="26"/>
    </row>
    <row r="681">
      <c r="A681" s="42"/>
      <c r="B681" s="35"/>
      <c r="H681" s="43"/>
      <c r="I681" s="44"/>
      <c r="M681" s="26"/>
    </row>
    <row r="682">
      <c r="A682" s="42"/>
      <c r="B682" s="35"/>
      <c r="H682" s="43"/>
      <c r="I682" s="44"/>
      <c r="M682" s="26"/>
    </row>
    <row r="683">
      <c r="A683" s="42"/>
      <c r="B683" s="35"/>
      <c r="H683" s="43"/>
      <c r="I683" s="44"/>
      <c r="M683" s="26"/>
    </row>
    <row r="684">
      <c r="A684" s="42"/>
      <c r="B684" s="35"/>
      <c r="H684" s="43"/>
      <c r="I684" s="44"/>
      <c r="M684" s="26"/>
    </row>
    <row r="685">
      <c r="A685" s="42"/>
      <c r="B685" s="35"/>
      <c r="H685" s="43"/>
      <c r="I685" s="44"/>
      <c r="M685" s="26"/>
    </row>
    <row r="686">
      <c r="A686" s="42"/>
      <c r="B686" s="35"/>
      <c r="H686" s="43"/>
      <c r="I686" s="44"/>
      <c r="M686" s="26"/>
    </row>
    <row r="687">
      <c r="A687" s="42"/>
      <c r="B687" s="35"/>
      <c r="H687" s="43"/>
      <c r="I687" s="44"/>
      <c r="M687" s="26"/>
    </row>
    <row r="688">
      <c r="A688" s="42"/>
      <c r="B688" s="35"/>
      <c r="H688" s="43"/>
      <c r="I688" s="44"/>
      <c r="M688" s="26"/>
    </row>
    <row r="689">
      <c r="A689" s="42"/>
      <c r="B689" s="35"/>
      <c r="H689" s="43"/>
      <c r="I689" s="44"/>
      <c r="M689" s="26"/>
    </row>
    <row r="690">
      <c r="A690" s="42"/>
      <c r="B690" s="35"/>
      <c r="H690" s="43"/>
      <c r="I690" s="44"/>
      <c r="M690" s="26"/>
    </row>
    <row r="691">
      <c r="A691" s="42"/>
      <c r="B691" s="35"/>
      <c r="H691" s="43"/>
      <c r="I691" s="44"/>
      <c r="M691" s="26"/>
    </row>
    <row r="692">
      <c r="A692" s="42"/>
      <c r="B692" s="35"/>
      <c r="H692" s="43"/>
      <c r="I692" s="44"/>
      <c r="M692" s="26"/>
    </row>
    <row r="693">
      <c r="A693" s="42"/>
      <c r="B693" s="35"/>
      <c r="H693" s="43"/>
      <c r="I693" s="44"/>
      <c r="M693" s="26"/>
    </row>
    <row r="694">
      <c r="A694" s="42"/>
      <c r="B694" s="35"/>
      <c r="H694" s="43"/>
      <c r="I694" s="44"/>
      <c r="M694" s="26"/>
    </row>
    <row r="695">
      <c r="A695" s="42"/>
      <c r="B695" s="35"/>
      <c r="H695" s="43"/>
      <c r="I695" s="44"/>
      <c r="M695" s="26"/>
    </row>
    <row r="696">
      <c r="A696" s="42"/>
      <c r="B696" s="35"/>
      <c r="H696" s="43"/>
      <c r="I696" s="44"/>
      <c r="M696" s="26"/>
    </row>
    <row r="697">
      <c r="A697" s="42"/>
      <c r="B697" s="35"/>
      <c r="H697" s="43"/>
      <c r="I697" s="44"/>
      <c r="M697" s="26"/>
    </row>
    <row r="698">
      <c r="A698" s="42"/>
      <c r="B698" s="35"/>
      <c r="H698" s="43"/>
      <c r="I698" s="44"/>
      <c r="M698" s="26"/>
    </row>
    <row r="699">
      <c r="A699" s="42"/>
      <c r="B699" s="35"/>
      <c r="H699" s="43"/>
      <c r="I699" s="44"/>
      <c r="M699" s="26"/>
    </row>
    <row r="700">
      <c r="A700" s="42"/>
      <c r="B700" s="35"/>
      <c r="H700" s="43"/>
      <c r="I700" s="44"/>
      <c r="M700" s="26"/>
    </row>
    <row r="701">
      <c r="A701" s="42"/>
      <c r="B701" s="35"/>
      <c r="H701" s="43"/>
      <c r="I701" s="44"/>
      <c r="M701" s="26"/>
    </row>
    <row r="702">
      <c r="A702" s="42"/>
      <c r="B702" s="35"/>
      <c r="H702" s="43"/>
      <c r="I702" s="44"/>
      <c r="M702" s="26"/>
    </row>
    <row r="703">
      <c r="A703" s="42"/>
      <c r="B703" s="35"/>
      <c r="H703" s="43"/>
      <c r="I703" s="44"/>
      <c r="M703" s="26"/>
    </row>
    <row r="704">
      <c r="A704" s="42"/>
      <c r="B704" s="35"/>
      <c r="H704" s="43"/>
      <c r="I704" s="44"/>
      <c r="M704" s="26"/>
    </row>
    <row r="705">
      <c r="A705" s="42"/>
      <c r="B705" s="35"/>
      <c r="H705" s="43"/>
      <c r="I705" s="44"/>
      <c r="M705" s="26"/>
    </row>
    <row r="706">
      <c r="A706" s="42"/>
      <c r="B706" s="35"/>
      <c r="H706" s="43"/>
      <c r="I706" s="44"/>
      <c r="M706" s="26"/>
    </row>
    <row r="707">
      <c r="A707" s="42"/>
      <c r="B707" s="35"/>
      <c r="H707" s="43"/>
      <c r="I707" s="44"/>
      <c r="M707" s="26"/>
    </row>
    <row r="708">
      <c r="A708" s="42"/>
      <c r="B708" s="35"/>
      <c r="H708" s="43"/>
      <c r="I708" s="44"/>
      <c r="M708" s="26"/>
    </row>
    <row r="709">
      <c r="A709" s="42"/>
      <c r="B709" s="35"/>
      <c r="H709" s="43"/>
      <c r="I709" s="44"/>
      <c r="M709" s="26"/>
    </row>
    <row r="710">
      <c r="A710" s="42"/>
      <c r="B710" s="35"/>
      <c r="H710" s="43"/>
      <c r="I710" s="44"/>
      <c r="M710" s="26"/>
    </row>
    <row r="711">
      <c r="A711" s="42"/>
      <c r="B711" s="35"/>
      <c r="H711" s="43"/>
      <c r="I711" s="44"/>
      <c r="M711" s="26"/>
    </row>
    <row r="712">
      <c r="A712" s="42"/>
      <c r="B712" s="35"/>
      <c r="H712" s="43"/>
      <c r="I712" s="44"/>
      <c r="M712" s="26"/>
    </row>
    <row r="713">
      <c r="A713" s="42"/>
      <c r="B713" s="35"/>
      <c r="H713" s="43"/>
      <c r="I713" s="44"/>
      <c r="M713" s="26"/>
    </row>
    <row r="714">
      <c r="A714" s="42"/>
      <c r="B714" s="35"/>
      <c r="H714" s="43"/>
      <c r="I714" s="44"/>
      <c r="M714" s="26"/>
    </row>
    <row r="715">
      <c r="A715" s="42"/>
      <c r="B715" s="35"/>
      <c r="H715" s="43"/>
      <c r="I715" s="44"/>
      <c r="M715" s="26"/>
    </row>
    <row r="716">
      <c r="A716" s="42"/>
      <c r="B716" s="35"/>
      <c r="H716" s="43"/>
      <c r="I716" s="44"/>
      <c r="M716" s="26"/>
    </row>
    <row r="717">
      <c r="A717" s="42"/>
      <c r="B717" s="35"/>
      <c r="H717" s="43"/>
      <c r="I717" s="44"/>
      <c r="M717" s="26"/>
    </row>
    <row r="718">
      <c r="A718" s="42"/>
      <c r="B718" s="35"/>
      <c r="H718" s="43"/>
      <c r="I718" s="44"/>
      <c r="M718" s="26"/>
    </row>
    <row r="719">
      <c r="A719" s="42"/>
      <c r="B719" s="35"/>
      <c r="H719" s="43"/>
      <c r="I719" s="44"/>
      <c r="M719" s="26"/>
    </row>
    <row r="720">
      <c r="A720" s="42"/>
      <c r="B720" s="35"/>
      <c r="H720" s="43"/>
      <c r="I720" s="44"/>
      <c r="M720" s="26"/>
    </row>
    <row r="721">
      <c r="A721" s="42"/>
      <c r="B721" s="35"/>
      <c r="H721" s="43"/>
      <c r="I721" s="44"/>
      <c r="M721" s="26"/>
    </row>
    <row r="722">
      <c r="A722" s="42"/>
      <c r="B722" s="35"/>
      <c r="H722" s="43"/>
      <c r="I722" s="44"/>
      <c r="M722" s="26"/>
    </row>
    <row r="723">
      <c r="A723" s="42"/>
      <c r="B723" s="35"/>
      <c r="H723" s="43"/>
      <c r="I723" s="44"/>
      <c r="M723" s="26"/>
    </row>
    <row r="724">
      <c r="A724" s="42"/>
      <c r="B724" s="35"/>
      <c r="H724" s="43"/>
      <c r="I724" s="44"/>
      <c r="M724" s="26"/>
    </row>
    <row r="725">
      <c r="A725" s="42"/>
      <c r="B725" s="35"/>
      <c r="H725" s="43"/>
      <c r="I725" s="44"/>
      <c r="M725" s="26"/>
    </row>
    <row r="726">
      <c r="A726" s="42"/>
      <c r="B726" s="35"/>
      <c r="H726" s="43"/>
      <c r="I726" s="44"/>
      <c r="M726" s="26"/>
    </row>
    <row r="727">
      <c r="A727" s="42"/>
      <c r="B727" s="35"/>
      <c r="H727" s="43"/>
      <c r="I727" s="44"/>
      <c r="M727" s="26"/>
    </row>
    <row r="728">
      <c r="A728" s="42"/>
      <c r="B728" s="35"/>
      <c r="H728" s="43"/>
      <c r="I728" s="44"/>
      <c r="M728" s="26"/>
    </row>
    <row r="729">
      <c r="A729" s="42"/>
      <c r="B729" s="35"/>
      <c r="H729" s="43"/>
      <c r="I729" s="44"/>
      <c r="M729" s="26"/>
    </row>
    <row r="730">
      <c r="A730" s="42"/>
      <c r="B730" s="35"/>
      <c r="H730" s="43"/>
      <c r="I730" s="44"/>
      <c r="M730" s="26"/>
    </row>
    <row r="731">
      <c r="A731" s="42"/>
      <c r="B731" s="35"/>
      <c r="H731" s="43"/>
      <c r="I731" s="44"/>
      <c r="M731" s="26"/>
    </row>
    <row r="732">
      <c r="A732" s="42"/>
      <c r="B732" s="35"/>
      <c r="H732" s="43"/>
      <c r="I732" s="44"/>
      <c r="M732" s="26"/>
    </row>
    <row r="733">
      <c r="A733" s="42"/>
      <c r="B733" s="35"/>
      <c r="H733" s="43"/>
      <c r="I733" s="44"/>
      <c r="M733" s="26"/>
    </row>
    <row r="734">
      <c r="A734" s="42"/>
      <c r="B734" s="35"/>
      <c r="H734" s="43"/>
      <c r="I734" s="44"/>
      <c r="M734" s="26"/>
    </row>
    <row r="735">
      <c r="A735" s="42"/>
      <c r="B735" s="35"/>
      <c r="H735" s="43"/>
      <c r="I735" s="44"/>
      <c r="M735" s="26"/>
    </row>
    <row r="736">
      <c r="A736" s="42"/>
      <c r="B736" s="35"/>
      <c r="H736" s="43"/>
      <c r="I736" s="44"/>
      <c r="M736" s="26"/>
    </row>
    <row r="737">
      <c r="A737" s="42"/>
      <c r="B737" s="35"/>
      <c r="H737" s="43"/>
      <c r="I737" s="44"/>
      <c r="M737" s="26"/>
    </row>
    <row r="738">
      <c r="A738" s="42"/>
      <c r="B738" s="35"/>
      <c r="H738" s="43"/>
      <c r="I738" s="44"/>
      <c r="M738" s="26"/>
    </row>
    <row r="739">
      <c r="A739" s="42"/>
      <c r="B739" s="35"/>
      <c r="H739" s="43"/>
      <c r="I739" s="44"/>
      <c r="M739" s="26"/>
    </row>
    <row r="740">
      <c r="A740" s="42"/>
      <c r="B740" s="35"/>
      <c r="H740" s="43"/>
      <c r="I740" s="44"/>
      <c r="M740" s="26"/>
    </row>
    <row r="741">
      <c r="A741" s="42"/>
      <c r="B741" s="35"/>
      <c r="H741" s="43"/>
      <c r="I741" s="44"/>
      <c r="M741" s="26"/>
    </row>
    <row r="742">
      <c r="A742" s="42"/>
      <c r="B742" s="35"/>
      <c r="H742" s="43"/>
      <c r="I742" s="44"/>
      <c r="M742" s="26"/>
    </row>
    <row r="743">
      <c r="A743" s="42"/>
      <c r="B743" s="35"/>
      <c r="H743" s="43"/>
      <c r="I743" s="44"/>
      <c r="M743" s="26"/>
    </row>
    <row r="744">
      <c r="A744" s="42"/>
      <c r="B744" s="35"/>
      <c r="H744" s="43"/>
      <c r="I744" s="44"/>
      <c r="M744" s="26"/>
    </row>
    <row r="745">
      <c r="A745" s="42"/>
      <c r="B745" s="35"/>
      <c r="H745" s="43"/>
      <c r="I745" s="44"/>
      <c r="M745" s="26"/>
    </row>
    <row r="746">
      <c r="A746" s="42"/>
      <c r="B746" s="35"/>
      <c r="H746" s="43"/>
      <c r="I746" s="44"/>
      <c r="M746" s="26"/>
    </row>
    <row r="747">
      <c r="A747" s="42"/>
      <c r="B747" s="35"/>
      <c r="H747" s="43"/>
      <c r="I747" s="44"/>
      <c r="M747" s="26"/>
    </row>
    <row r="748">
      <c r="A748" s="42"/>
      <c r="B748" s="35"/>
      <c r="H748" s="43"/>
      <c r="I748" s="44"/>
      <c r="M748" s="26"/>
    </row>
    <row r="749">
      <c r="A749" s="42"/>
      <c r="B749" s="35"/>
      <c r="H749" s="43"/>
      <c r="I749" s="44"/>
      <c r="M749" s="26"/>
    </row>
    <row r="750">
      <c r="A750" s="42"/>
      <c r="B750" s="35"/>
      <c r="H750" s="43"/>
      <c r="I750" s="44"/>
      <c r="M750" s="26"/>
    </row>
    <row r="751">
      <c r="A751" s="42"/>
      <c r="B751" s="35"/>
      <c r="H751" s="43"/>
      <c r="I751" s="44"/>
      <c r="M751" s="26"/>
    </row>
    <row r="752">
      <c r="A752" s="42"/>
      <c r="B752" s="35"/>
      <c r="H752" s="43"/>
      <c r="I752" s="44"/>
      <c r="M752" s="26"/>
    </row>
    <row r="753">
      <c r="A753" s="42"/>
      <c r="B753" s="35"/>
      <c r="H753" s="43"/>
      <c r="I753" s="44"/>
      <c r="M753" s="26"/>
    </row>
    <row r="754">
      <c r="A754" s="42"/>
      <c r="B754" s="35"/>
      <c r="H754" s="43"/>
      <c r="I754" s="44"/>
      <c r="M754" s="26"/>
    </row>
    <row r="755">
      <c r="A755" s="42"/>
      <c r="B755" s="35"/>
      <c r="H755" s="43"/>
      <c r="I755" s="44"/>
      <c r="M755" s="26"/>
    </row>
    <row r="756">
      <c r="A756" s="42"/>
      <c r="B756" s="35"/>
      <c r="H756" s="43"/>
      <c r="I756" s="44"/>
      <c r="M756" s="26"/>
    </row>
    <row r="757">
      <c r="A757" s="42"/>
      <c r="B757" s="35"/>
      <c r="H757" s="43"/>
      <c r="I757" s="44"/>
      <c r="M757" s="26"/>
    </row>
    <row r="758">
      <c r="A758" s="42"/>
      <c r="B758" s="35"/>
      <c r="H758" s="43"/>
      <c r="I758" s="44"/>
      <c r="M758" s="26"/>
    </row>
    <row r="759">
      <c r="A759" s="42"/>
      <c r="B759" s="35"/>
      <c r="H759" s="43"/>
      <c r="I759" s="44"/>
      <c r="M759" s="26"/>
    </row>
    <row r="760">
      <c r="A760" s="42"/>
      <c r="B760" s="35"/>
      <c r="H760" s="43"/>
      <c r="I760" s="44"/>
      <c r="M760" s="26"/>
    </row>
    <row r="761">
      <c r="A761" s="42"/>
      <c r="B761" s="35"/>
      <c r="H761" s="43"/>
      <c r="I761" s="44"/>
      <c r="M761" s="26"/>
    </row>
    <row r="762">
      <c r="A762" s="42"/>
      <c r="B762" s="35"/>
      <c r="H762" s="43"/>
      <c r="I762" s="44"/>
      <c r="M762" s="26"/>
    </row>
    <row r="763">
      <c r="A763" s="42"/>
      <c r="B763" s="35"/>
      <c r="H763" s="43"/>
      <c r="I763" s="44"/>
      <c r="M763" s="26"/>
    </row>
    <row r="764">
      <c r="A764" s="42"/>
      <c r="B764" s="35"/>
      <c r="H764" s="43"/>
      <c r="I764" s="44"/>
      <c r="M764" s="26"/>
    </row>
    <row r="765">
      <c r="A765" s="42"/>
      <c r="B765" s="35"/>
      <c r="H765" s="43"/>
      <c r="I765" s="44"/>
      <c r="M765" s="26"/>
    </row>
    <row r="766">
      <c r="A766" s="42"/>
      <c r="B766" s="35"/>
      <c r="H766" s="43"/>
      <c r="I766" s="44"/>
      <c r="M766" s="26"/>
    </row>
    <row r="767">
      <c r="A767" s="42"/>
      <c r="B767" s="35"/>
      <c r="H767" s="43"/>
      <c r="I767" s="44"/>
      <c r="M767" s="26"/>
    </row>
    <row r="768">
      <c r="A768" s="42"/>
      <c r="B768" s="35"/>
      <c r="H768" s="43"/>
      <c r="I768" s="44"/>
      <c r="M768" s="26"/>
    </row>
    <row r="769">
      <c r="A769" s="42"/>
      <c r="B769" s="35"/>
      <c r="H769" s="43"/>
      <c r="I769" s="44"/>
      <c r="M769" s="26"/>
    </row>
    <row r="770">
      <c r="A770" s="42"/>
      <c r="B770" s="35"/>
      <c r="H770" s="43"/>
      <c r="I770" s="44"/>
      <c r="M770" s="26"/>
    </row>
    <row r="771">
      <c r="A771" s="42"/>
      <c r="B771" s="35"/>
      <c r="H771" s="43"/>
      <c r="I771" s="44"/>
      <c r="M771" s="26"/>
    </row>
    <row r="772">
      <c r="A772" s="42"/>
      <c r="B772" s="35"/>
      <c r="H772" s="43"/>
      <c r="I772" s="44"/>
      <c r="M772" s="26"/>
    </row>
    <row r="773">
      <c r="A773" s="42"/>
      <c r="B773" s="35"/>
      <c r="H773" s="43"/>
      <c r="I773" s="44"/>
      <c r="M773" s="26"/>
    </row>
    <row r="774">
      <c r="A774" s="42"/>
      <c r="B774" s="35"/>
      <c r="H774" s="43"/>
      <c r="I774" s="44"/>
      <c r="M774" s="26"/>
    </row>
    <row r="775">
      <c r="A775" s="42"/>
      <c r="B775" s="35"/>
      <c r="H775" s="43"/>
      <c r="I775" s="44"/>
      <c r="M775" s="26"/>
    </row>
    <row r="776">
      <c r="A776" s="42"/>
      <c r="B776" s="35"/>
      <c r="H776" s="43"/>
      <c r="I776" s="44"/>
      <c r="M776" s="26"/>
    </row>
    <row r="777">
      <c r="A777" s="42"/>
      <c r="B777" s="35"/>
      <c r="H777" s="43"/>
      <c r="I777" s="44"/>
      <c r="M777" s="26"/>
    </row>
    <row r="778">
      <c r="A778" s="42"/>
      <c r="B778" s="35"/>
      <c r="H778" s="43"/>
      <c r="I778" s="44"/>
      <c r="M778" s="26"/>
    </row>
    <row r="779">
      <c r="A779" s="42"/>
      <c r="B779" s="35"/>
      <c r="H779" s="43"/>
      <c r="I779" s="44"/>
      <c r="M779" s="26"/>
    </row>
    <row r="780">
      <c r="A780" s="42"/>
      <c r="B780" s="35"/>
      <c r="H780" s="43"/>
      <c r="I780" s="44"/>
      <c r="M780" s="26"/>
    </row>
    <row r="781">
      <c r="A781" s="42"/>
      <c r="B781" s="35"/>
      <c r="H781" s="43"/>
      <c r="I781" s="44"/>
      <c r="M781" s="26"/>
    </row>
    <row r="782">
      <c r="A782" s="42"/>
      <c r="B782" s="35"/>
      <c r="H782" s="43"/>
      <c r="I782" s="44"/>
      <c r="M782" s="26"/>
    </row>
    <row r="783">
      <c r="A783" s="42"/>
      <c r="B783" s="35"/>
      <c r="H783" s="43"/>
      <c r="I783" s="44"/>
      <c r="M783" s="26"/>
    </row>
    <row r="784">
      <c r="A784" s="42"/>
      <c r="B784" s="35"/>
      <c r="H784" s="43"/>
      <c r="I784" s="44"/>
      <c r="M784" s="26"/>
    </row>
    <row r="785">
      <c r="A785" s="42"/>
      <c r="B785" s="35"/>
      <c r="H785" s="43"/>
      <c r="I785" s="44"/>
      <c r="M785" s="26"/>
    </row>
    <row r="786">
      <c r="A786" s="42"/>
      <c r="B786" s="35"/>
      <c r="H786" s="43"/>
      <c r="I786" s="44"/>
      <c r="M786" s="26"/>
    </row>
    <row r="787">
      <c r="A787" s="42"/>
      <c r="B787" s="35"/>
      <c r="H787" s="43"/>
      <c r="I787" s="44"/>
      <c r="M787" s="26"/>
    </row>
    <row r="788">
      <c r="A788" s="42"/>
      <c r="B788" s="35"/>
      <c r="H788" s="43"/>
      <c r="I788" s="44"/>
      <c r="M788" s="26"/>
    </row>
    <row r="789">
      <c r="A789" s="42"/>
      <c r="B789" s="35"/>
      <c r="H789" s="43"/>
      <c r="I789" s="44"/>
      <c r="M789" s="26"/>
    </row>
    <row r="790">
      <c r="A790" s="42"/>
      <c r="B790" s="35"/>
      <c r="H790" s="43"/>
      <c r="I790" s="44"/>
      <c r="M790" s="26"/>
    </row>
    <row r="791">
      <c r="A791" s="42"/>
      <c r="B791" s="35"/>
      <c r="H791" s="43"/>
      <c r="I791" s="44"/>
      <c r="M791" s="26"/>
    </row>
    <row r="792">
      <c r="A792" s="42"/>
      <c r="B792" s="35"/>
      <c r="H792" s="43"/>
      <c r="I792" s="44"/>
      <c r="M792" s="26"/>
    </row>
    <row r="793">
      <c r="A793" s="42"/>
      <c r="B793" s="35"/>
      <c r="H793" s="43"/>
      <c r="I793" s="44"/>
      <c r="M793" s="26"/>
    </row>
    <row r="794">
      <c r="A794" s="42"/>
      <c r="B794" s="35"/>
      <c r="H794" s="43"/>
      <c r="I794" s="44"/>
      <c r="M794" s="26"/>
    </row>
    <row r="795">
      <c r="A795" s="42"/>
      <c r="B795" s="35"/>
      <c r="H795" s="43"/>
      <c r="I795" s="44"/>
      <c r="M795" s="26"/>
    </row>
    <row r="796">
      <c r="A796" s="42"/>
      <c r="B796" s="35"/>
      <c r="H796" s="43"/>
      <c r="I796" s="44"/>
      <c r="M796" s="26"/>
    </row>
    <row r="797">
      <c r="A797" s="42"/>
      <c r="B797" s="35"/>
      <c r="H797" s="43"/>
      <c r="I797" s="44"/>
      <c r="M797" s="26"/>
    </row>
    <row r="798">
      <c r="A798" s="42"/>
      <c r="B798" s="35"/>
      <c r="H798" s="43"/>
      <c r="I798" s="44"/>
      <c r="M798" s="26"/>
    </row>
    <row r="799">
      <c r="A799" s="42"/>
      <c r="B799" s="35"/>
      <c r="H799" s="43"/>
      <c r="I799" s="44"/>
      <c r="M799" s="26"/>
    </row>
    <row r="800">
      <c r="A800" s="42"/>
      <c r="B800" s="35"/>
      <c r="H800" s="43"/>
      <c r="I800" s="44"/>
      <c r="M800" s="26"/>
    </row>
    <row r="801">
      <c r="A801" s="42"/>
      <c r="B801" s="35"/>
      <c r="H801" s="43"/>
      <c r="I801" s="44"/>
      <c r="M801" s="26"/>
    </row>
    <row r="802">
      <c r="A802" s="42"/>
      <c r="B802" s="35"/>
      <c r="H802" s="43"/>
      <c r="I802" s="44"/>
      <c r="M802" s="26"/>
    </row>
    <row r="803">
      <c r="A803" s="42"/>
      <c r="B803" s="35"/>
      <c r="H803" s="43"/>
      <c r="I803" s="44"/>
      <c r="M803" s="26"/>
    </row>
    <row r="804">
      <c r="A804" s="42"/>
      <c r="B804" s="35"/>
      <c r="H804" s="43"/>
      <c r="I804" s="44"/>
      <c r="M804" s="26"/>
    </row>
    <row r="805">
      <c r="A805" s="42"/>
      <c r="B805" s="35"/>
      <c r="H805" s="43"/>
      <c r="I805" s="44"/>
      <c r="M805" s="26"/>
    </row>
    <row r="806">
      <c r="A806" s="42"/>
      <c r="B806" s="35"/>
      <c r="H806" s="43"/>
      <c r="I806" s="44"/>
      <c r="M806" s="26"/>
    </row>
    <row r="807">
      <c r="A807" s="42"/>
      <c r="B807" s="35"/>
      <c r="H807" s="43"/>
      <c r="I807" s="44"/>
      <c r="M807" s="26"/>
    </row>
    <row r="808">
      <c r="A808" s="42"/>
      <c r="B808" s="35"/>
      <c r="H808" s="43"/>
      <c r="I808" s="44"/>
      <c r="M808" s="26"/>
    </row>
    <row r="809">
      <c r="A809" s="42"/>
      <c r="B809" s="35"/>
      <c r="H809" s="43"/>
      <c r="I809" s="44"/>
      <c r="M809" s="26"/>
    </row>
    <row r="810">
      <c r="A810" s="42"/>
      <c r="B810" s="35"/>
      <c r="H810" s="43"/>
      <c r="I810" s="44"/>
      <c r="M810" s="26"/>
    </row>
    <row r="811">
      <c r="A811" s="42"/>
      <c r="B811" s="35"/>
      <c r="H811" s="43"/>
      <c r="I811" s="44"/>
      <c r="M811" s="26"/>
    </row>
    <row r="812">
      <c r="A812" s="42"/>
      <c r="B812" s="35"/>
      <c r="H812" s="43"/>
      <c r="I812" s="44"/>
      <c r="M812" s="26"/>
    </row>
    <row r="813">
      <c r="A813" s="42"/>
      <c r="B813" s="35"/>
      <c r="H813" s="43"/>
      <c r="I813" s="44"/>
      <c r="M813" s="26"/>
    </row>
    <row r="814">
      <c r="A814" s="42"/>
      <c r="B814" s="35"/>
      <c r="H814" s="43"/>
      <c r="I814" s="44"/>
      <c r="M814" s="26"/>
    </row>
    <row r="815">
      <c r="A815" s="42"/>
      <c r="B815" s="35"/>
      <c r="H815" s="43"/>
      <c r="I815" s="44"/>
      <c r="M815" s="26"/>
    </row>
    <row r="816">
      <c r="A816" s="42"/>
      <c r="B816" s="35"/>
      <c r="H816" s="43"/>
      <c r="I816" s="44"/>
      <c r="M816" s="26"/>
    </row>
    <row r="817">
      <c r="A817" s="42"/>
      <c r="B817" s="35"/>
      <c r="H817" s="43"/>
      <c r="I817" s="44"/>
      <c r="M817" s="26"/>
    </row>
    <row r="818">
      <c r="A818" s="42"/>
      <c r="B818" s="35"/>
      <c r="H818" s="43"/>
      <c r="I818" s="44"/>
      <c r="M818" s="26"/>
    </row>
    <row r="819">
      <c r="A819" s="42"/>
      <c r="B819" s="35"/>
      <c r="H819" s="43"/>
      <c r="I819" s="44"/>
      <c r="M819" s="26"/>
    </row>
    <row r="820">
      <c r="A820" s="42"/>
      <c r="B820" s="35"/>
      <c r="H820" s="43"/>
      <c r="I820" s="44"/>
      <c r="M820" s="26"/>
    </row>
    <row r="821">
      <c r="A821" s="42"/>
      <c r="B821" s="35"/>
      <c r="H821" s="43"/>
      <c r="I821" s="44"/>
      <c r="M821" s="26"/>
    </row>
    <row r="822">
      <c r="A822" s="42"/>
      <c r="B822" s="35"/>
      <c r="H822" s="43"/>
      <c r="I822" s="44"/>
      <c r="M822" s="26"/>
    </row>
    <row r="823">
      <c r="A823" s="42"/>
      <c r="B823" s="35"/>
      <c r="H823" s="43"/>
      <c r="I823" s="44"/>
      <c r="M823" s="26"/>
    </row>
    <row r="824">
      <c r="A824" s="42"/>
      <c r="B824" s="35"/>
      <c r="H824" s="43"/>
      <c r="I824" s="44"/>
      <c r="M824" s="26"/>
    </row>
    <row r="825">
      <c r="A825" s="42"/>
      <c r="B825" s="35"/>
      <c r="H825" s="43"/>
      <c r="I825" s="44"/>
      <c r="M825" s="26"/>
    </row>
    <row r="826">
      <c r="A826" s="42"/>
      <c r="B826" s="35"/>
      <c r="H826" s="43"/>
      <c r="I826" s="44"/>
      <c r="M826" s="26"/>
    </row>
    <row r="827">
      <c r="A827" s="42"/>
      <c r="B827" s="35"/>
      <c r="H827" s="43"/>
      <c r="I827" s="44"/>
      <c r="M827" s="26"/>
    </row>
    <row r="828">
      <c r="A828" s="42"/>
      <c r="B828" s="35"/>
      <c r="H828" s="43"/>
      <c r="I828" s="44"/>
      <c r="M828" s="26"/>
    </row>
    <row r="829">
      <c r="A829" s="42"/>
      <c r="B829" s="35"/>
      <c r="H829" s="43"/>
      <c r="I829" s="44"/>
      <c r="M829" s="26"/>
    </row>
    <row r="830">
      <c r="A830" s="42"/>
      <c r="B830" s="35"/>
      <c r="H830" s="43"/>
      <c r="I830" s="44"/>
      <c r="M830" s="26"/>
    </row>
    <row r="831">
      <c r="A831" s="42"/>
      <c r="B831" s="35"/>
      <c r="H831" s="43"/>
      <c r="I831" s="44"/>
      <c r="M831" s="26"/>
    </row>
    <row r="832">
      <c r="A832" s="42"/>
      <c r="B832" s="35"/>
      <c r="H832" s="43"/>
      <c r="I832" s="44"/>
      <c r="M832" s="26"/>
    </row>
    <row r="833">
      <c r="A833" s="42"/>
      <c r="B833" s="35"/>
      <c r="H833" s="43"/>
      <c r="I833" s="44"/>
      <c r="M833" s="26"/>
    </row>
    <row r="834">
      <c r="A834" s="42"/>
      <c r="B834" s="35"/>
      <c r="H834" s="43"/>
      <c r="I834" s="44"/>
      <c r="M834" s="26"/>
    </row>
    <row r="835">
      <c r="A835" s="42"/>
      <c r="B835" s="35"/>
      <c r="H835" s="43"/>
      <c r="I835" s="44"/>
      <c r="M835" s="26"/>
    </row>
    <row r="836">
      <c r="A836" s="42"/>
      <c r="B836" s="35"/>
      <c r="H836" s="43"/>
      <c r="I836" s="44"/>
      <c r="M836" s="26"/>
    </row>
    <row r="837">
      <c r="A837" s="42"/>
      <c r="B837" s="35"/>
      <c r="H837" s="43"/>
      <c r="I837" s="44"/>
      <c r="M837" s="26"/>
    </row>
    <row r="838">
      <c r="A838" s="42"/>
      <c r="B838" s="35"/>
      <c r="H838" s="43"/>
      <c r="I838" s="44"/>
      <c r="M838" s="26"/>
    </row>
    <row r="839">
      <c r="A839" s="42"/>
      <c r="B839" s="35"/>
      <c r="H839" s="43"/>
      <c r="I839" s="44"/>
      <c r="M839" s="26"/>
    </row>
    <row r="840">
      <c r="A840" s="42"/>
      <c r="B840" s="35"/>
      <c r="H840" s="43"/>
      <c r="I840" s="44"/>
      <c r="M840" s="26"/>
    </row>
    <row r="841">
      <c r="A841" s="42"/>
      <c r="B841" s="35"/>
      <c r="H841" s="43"/>
      <c r="I841" s="44"/>
      <c r="M841" s="26"/>
    </row>
    <row r="842">
      <c r="A842" s="42"/>
      <c r="B842" s="35"/>
      <c r="H842" s="43"/>
      <c r="I842" s="44"/>
      <c r="M842" s="26"/>
    </row>
    <row r="843">
      <c r="A843" s="42"/>
      <c r="B843" s="35"/>
      <c r="H843" s="43"/>
      <c r="I843" s="44"/>
      <c r="M843" s="26"/>
    </row>
    <row r="844">
      <c r="A844" s="42"/>
      <c r="B844" s="35"/>
      <c r="H844" s="43"/>
      <c r="I844" s="44"/>
      <c r="M844" s="26"/>
    </row>
    <row r="845">
      <c r="A845" s="42"/>
      <c r="B845" s="35"/>
      <c r="H845" s="43"/>
      <c r="I845" s="44"/>
      <c r="M845" s="26"/>
    </row>
    <row r="846">
      <c r="A846" s="42"/>
      <c r="B846" s="35"/>
      <c r="H846" s="43"/>
      <c r="I846" s="44"/>
      <c r="M846" s="26"/>
    </row>
    <row r="847">
      <c r="A847" s="42"/>
      <c r="B847" s="35"/>
      <c r="H847" s="43"/>
      <c r="I847" s="44"/>
      <c r="M847" s="26"/>
    </row>
    <row r="848">
      <c r="A848" s="42"/>
      <c r="B848" s="35"/>
      <c r="H848" s="43"/>
      <c r="I848" s="44"/>
      <c r="M848" s="26"/>
    </row>
    <row r="849">
      <c r="A849" s="42"/>
      <c r="B849" s="35"/>
      <c r="H849" s="43"/>
      <c r="I849" s="44"/>
      <c r="M849" s="26"/>
    </row>
    <row r="850">
      <c r="A850" s="42"/>
      <c r="B850" s="35"/>
      <c r="H850" s="43"/>
      <c r="I850" s="44"/>
      <c r="M850" s="26"/>
    </row>
    <row r="851">
      <c r="A851" s="42"/>
      <c r="B851" s="35"/>
      <c r="H851" s="43"/>
      <c r="I851" s="44"/>
      <c r="M851" s="26"/>
    </row>
    <row r="852">
      <c r="A852" s="42"/>
      <c r="B852" s="35"/>
      <c r="H852" s="43"/>
      <c r="I852" s="44"/>
      <c r="M852" s="26"/>
    </row>
    <row r="853">
      <c r="A853" s="42"/>
      <c r="B853" s="35"/>
      <c r="H853" s="43"/>
      <c r="I853" s="44"/>
      <c r="M853" s="26"/>
    </row>
    <row r="854">
      <c r="A854" s="42"/>
      <c r="B854" s="35"/>
      <c r="H854" s="43"/>
      <c r="I854" s="44"/>
      <c r="M854" s="26"/>
    </row>
    <row r="855">
      <c r="A855" s="42"/>
      <c r="B855" s="35"/>
      <c r="H855" s="43"/>
      <c r="I855" s="44"/>
      <c r="M855" s="26"/>
    </row>
    <row r="856">
      <c r="A856" s="42"/>
      <c r="B856" s="35"/>
      <c r="H856" s="43"/>
      <c r="I856" s="44"/>
      <c r="M856" s="26"/>
    </row>
    <row r="857">
      <c r="A857" s="42"/>
      <c r="B857" s="35"/>
      <c r="H857" s="43"/>
      <c r="I857" s="44"/>
      <c r="M857" s="26"/>
    </row>
    <row r="858">
      <c r="A858" s="42"/>
      <c r="B858" s="35"/>
      <c r="H858" s="43"/>
      <c r="I858" s="44"/>
      <c r="M858" s="26"/>
    </row>
    <row r="859">
      <c r="A859" s="42"/>
      <c r="B859" s="35"/>
      <c r="H859" s="43"/>
      <c r="I859" s="44"/>
      <c r="M859" s="26"/>
    </row>
    <row r="860">
      <c r="A860" s="42"/>
      <c r="B860" s="35"/>
      <c r="H860" s="43"/>
      <c r="I860" s="44"/>
      <c r="M860" s="26"/>
    </row>
    <row r="861">
      <c r="A861" s="42"/>
      <c r="B861" s="35"/>
      <c r="H861" s="43"/>
      <c r="I861" s="44"/>
      <c r="M861" s="26"/>
    </row>
    <row r="862">
      <c r="A862" s="42"/>
      <c r="B862" s="35"/>
      <c r="H862" s="43"/>
      <c r="I862" s="44"/>
      <c r="M862" s="26"/>
    </row>
    <row r="863">
      <c r="A863" s="42"/>
      <c r="B863" s="35"/>
      <c r="H863" s="43"/>
      <c r="I863" s="44"/>
      <c r="M863" s="26"/>
    </row>
    <row r="864">
      <c r="A864" s="42"/>
      <c r="B864" s="35"/>
      <c r="H864" s="43"/>
      <c r="I864" s="44"/>
      <c r="M864" s="26"/>
    </row>
    <row r="865">
      <c r="A865" s="42"/>
      <c r="B865" s="35"/>
      <c r="H865" s="43"/>
      <c r="I865" s="44"/>
      <c r="M865" s="26"/>
    </row>
    <row r="866">
      <c r="A866" s="42"/>
      <c r="B866" s="35"/>
      <c r="H866" s="43"/>
      <c r="I866" s="44"/>
      <c r="M866" s="26"/>
    </row>
    <row r="867">
      <c r="A867" s="42"/>
      <c r="B867" s="35"/>
      <c r="H867" s="43"/>
      <c r="I867" s="44"/>
      <c r="M867" s="26"/>
    </row>
    <row r="868">
      <c r="A868" s="42"/>
      <c r="B868" s="35"/>
      <c r="H868" s="43"/>
      <c r="I868" s="44"/>
      <c r="M868" s="26"/>
    </row>
    <row r="869">
      <c r="A869" s="42"/>
      <c r="B869" s="35"/>
      <c r="H869" s="43"/>
      <c r="I869" s="44"/>
      <c r="M869" s="26"/>
    </row>
    <row r="870">
      <c r="A870" s="42"/>
      <c r="B870" s="35"/>
      <c r="H870" s="43"/>
      <c r="I870" s="44"/>
      <c r="M870" s="26"/>
    </row>
    <row r="871">
      <c r="A871" s="42"/>
      <c r="B871" s="35"/>
      <c r="H871" s="43"/>
      <c r="I871" s="44"/>
      <c r="M871" s="26"/>
    </row>
    <row r="872">
      <c r="A872" s="42"/>
      <c r="B872" s="35"/>
      <c r="H872" s="43"/>
      <c r="I872" s="44"/>
      <c r="M872" s="26"/>
    </row>
    <row r="873">
      <c r="A873" s="42"/>
      <c r="B873" s="35"/>
      <c r="H873" s="43"/>
      <c r="I873" s="44"/>
      <c r="M873" s="26"/>
    </row>
    <row r="874">
      <c r="A874" s="42"/>
      <c r="B874" s="35"/>
      <c r="H874" s="43"/>
      <c r="I874" s="44"/>
      <c r="M874" s="26"/>
    </row>
    <row r="875">
      <c r="A875" s="42"/>
      <c r="B875" s="35"/>
      <c r="H875" s="43"/>
      <c r="I875" s="44"/>
      <c r="M875" s="26"/>
    </row>
    <row r="876">
      <c r="A876" s="42"/>
      <c r="B876" s="35"/>
      <c r="H876" s="43"/>
      <c r="I876" s="44"/>
      <c r="M876" s="26"/>
    </row>
    <row r="877">
      <c r="A877" s="42"/>
      <c r="B877" s="35"/>
      <c r="H877" s="43"/>
      <c r="I877" s="44"/>
      <c r="M877" s="26"/>
    </row>
    <row r="878">
      <c r="A878" s="42"/>
      <c r="B878" s="35"/>
      <c r="H878" s="43"/>
      <c r="I878" s="44"/>
      <c r="M878" s="26"/>
    </row>
    <row r="879">
      <c r="A879" s="42"/>
      <c r="B879" s="35"/>
      <c r="H879" s="43"/>
      <c r="I879" s="44"/>
      <c r="M879" s="26"/>
    </row>
    <row r="880">
      <c r="A880" s="42"/>
      <c r="B880" s="35"/>
      <c r="H880" s="43"/>
      <c r="I880" s="44"/>
      <c r="M880" s="26"/>
    </row>
    <row r="881">
      <c r="A881" s="42"/>
      <c r="B881" s="35"/>
      <c r="H881" s="43"/>
      <c r="I881" s="44"/>
      <c r="M881" s="26"/>
    </row>
    <row r="882">
      <c r="A882" s="42"/>
      <c r="B882" s="35"/>
      <c r="H882" s="43"/>
      <c r="I882" s="44"/>
      <c r="M882" s="26"/>
    </row>
    <row r="883">
      <c r="A883" s="42"/>
      <c r="B883" s="35"/>
      <c r="H883" s="43"/>
      <c r="I883" s="44"/>
      <c r="M883" s="26"/>
    </row>
    <row r="884">
      <c r="A884" s="42"/>
      <c r="B884" s="35"/>
      <c r="H884" s="43"/>
      <c r="I884" s="44"/>
      <c r="M884" s="26"/>
    </row>
    <row r="885">
      <c r="A885" s="42"/>
      <c r="B885" s="35"/>
      <c r="H885" s="43"/>
      <c r="I885" s="44"/>
      <c r="M885" s="26"/>
    </row>
    <row r="886">
      <c r="A886" s="42"/>
      <c r="B886" s="35"/>
      <c r="H886" s="43"/>
      <c r="I886" s="44"/>
      <c r="M886" s="26"/>
    </row>
    <row r="887">
      <c r="A887" s="42"/>
      <c r="B887" s="35"/>
      <c r="H887" s="43"/>
      <c r="I887" s="44"/>
      <c r="M887" s="26"/>
    </row>
    <row r="888">
      <c r="A888" s="42"/>
      <c r="B888" s="35"/>
      <c r="H888" s="43"/>
      <c r="I888" s="44"/>
      <c r="M888" s="26"/>
    </row>
    <row r="889">
      <c r="A889" s="42"/>
      <c r="B889" s="35"/>
      <c r="H889" s="43"/>
      <c r="I889" s="44"/>
      <c r="M889" s="26"/>
    </row>
    <row r="890">
      <c r="A890" s="42"/>
      <c r="B890" s="35"/>
      <c r="H890" s="43"/>
      <c r="I890" s="44"/>
      <c r="M890" s="26"/>
    </row>
    <row r="891">
      <c r="A891" s="42"/>
      <c r="B891" s="35"/>
      <c r="H891" s="43"/>
      <c r="I891" s="44"/>
      <c r="M891" s="26"/>
    </row>
    <row r="892">
      <c r="A892" s="42"/>
      <c r="B892" s="35"/>
      <c r="H892" s="43"/>
      <c r="I892" s="44"/>
      <c r="M892" s="26"/>
    </row>
    <row r="893">
      <c r="A893" s="42"/>
      <c r="B893" s="35"/>
      <c r="H893" s="43"/>
      <c r="I893" s="44"/>
      <c r="M893" s="26"/>
    </row>
    <row r="894">
      <c r="A894" s="42"/>
      <c r="B894" s="35"/>
      <c r="H894" s="43"/>
      <c r="I894" s="44"/>
      <c r="M894" s="26"/>
    </row>
    <row r="895">
      <c r="A895" s="42"/>
      <c r="B895" s="35"/>
      <c r="H895" s="43"/>
      <c r="I895" s="44"/>
      <c r="M895" s="26"/>
    </row>
    <row r="896">
      <c r="A896" s="42"/>
      <c r="B896" s="35"/>
      <c r="H896" s="43"/>
      <c r="I896" s="44"/>
      <c r="M896" s="26"/>
    </row>
    <row r="897">
      <c r="A897" s="42"/>
      <c r="B897" s="35"/>
      <c r="H897" s="43"/>
      <c r="I897" s="44"/>
      <c r="M897" s="26"/>
    </row>
    <row r="898">
      <c r="A898" s="42"/>
      <c r="B898" s="35"/>
      <c r="H898" s="43"/>
      <c r="I898" s="44"/>
      <c r="M898" s="26"/>
    </row>
    <row r="899">
      <c r="A899" s="42"/>
      <c r="B899" s="35"/>
      <c r="H899" s="43"/>
      <c r="I899" s="44"/>
      <c r="M899" s="26"/>
    </row>
    <row r="900">
      <c r="A900" s="42"/>
      <c r="B900" s="35"/>
      <c r="H900" s="43"/>
      <c r="I900" s="44"/>
      <c r="M900" s="26"/>
    </row>
    <row r="901">
      <c r="A901" s="42"/>
      <c r="B901" s="35"/>
      <c r="H901" s="43"/>
      <c r="I901" s="44"/>
      <c r="M901" s="26"/>
    </row>
    <row r="902">
      <c r="A902" s="42"/>
      <c r="B902" s="35"/>
      <c r="H902" s="43"/>
      <c r="I902" s="44"/>
      <c r="M902" s="26"/>
    </row>
    <row r="903">
      <c r="A903" s="42"/>
      <c r="B903" s="35"/>
      <c r="H903" s="43"/>
      <c r="I903" s="44"/>
      <c r="M903" s="26"/>
    </row>
    <row r="904">
      <c r="A904" s="42"/>
      <c r="B904" s="35"/>
      <c r="H904" s="43"/>
      <c r="I904" s="44"/>
      <c r="M904" s="26"/>
    </row>
    <row r="905">
      <c r="A905" s="42"/>
      <c r="B905" s="35"/>
      <c r="H905" s="43"/>
      <c r="I905" s="44"/>
      <c r="M905" s="26"/>
    </row>
    <row r="906">
      <c r="A906" s="42"/>
      <c r="B906" s="35"/>
      <c r="H906" s="43"/>
      <c r="I906" s="44"/>
      <c r="M906" s="26"/>
    </row>
    <row r="907">
      <c r="A907" s="42"/>
      <c r="B907" s="35"/>
      <c r="H907" s="43"/>
      <c r="I907" s="44"/>
      <c r="M907" s="26"/>
    </row>
    <row r="908">
      <c r="A908" s="42"/>
      <c r="B908" s="35"/>
      <c r="H908" s="43"/>
      <c r="I908" s="44"/>
      <c r="M908" s="26"/>
    </row>
    <row r="909">
      <c r="A909" s="42"/>
      <c r="B909" s="35"/>
      <c r="H909" s="43"/>
      <c r="I909" s="44"/>
      <c r="M909" s="26"/>
    </row>
    <row r="910">
      <c r="A910" s="42"/>
      <c r="B910" s="35"/>
      <c r="H910" s="43"/>
      <c r="I910" s="44"/>
      <c r="M910" s="26"/>
    </row>
    <row r="911">
      <c r="A911" s="42"/>
      <c r="B911" s="35"/>
      <c r="H911" s="43"/>
      <c r="I911" s="44"/>
      <c r="M911" s="26"/>
    </row>
    <row r="912">
      <c r="A912" s="42"/>
      <c r="B912" s="35"/>
      <c r="H912" s="43"/>
      <c r="I912" s="44"/>
      <c r="M912" s="26"/>
    </row>
    <row r="913">
      <c r="A913" s="42"/>
      <c r="B913" s="35"/>
      <c r="H913" s="43"/>
      <c r="I913" s="44"/>
      <c r="M913" s="26"/>
    </row>
    <row r="914">
      <c r="A914" s="42"/>
      <c r="B914" s="35"/>
      <c r="H914" s="43"/>
      <c r="I914" s="44"/>
      <c r="M914" s="26"/>
    </row>
    <row r="915">
      <c r="A915" s="42"/>
      <c r="B915" s="35"/>
      <c r="H915" s="43"/>
      <c r="I915" s="44"/>
      <c r="M915" s="26"/>
    </row>
    <row r="916">
      <c r="A916" s="42"/>
      <c r="B916" s="35"/>
      <c r="H916" s="43"/>
      <c r="I916" s="44"/>
      <c r="M916" s="26"/>
    </row>
    <row r="917">
      <c r="A917" s="42"/>
      <c r="B917" s="35"/>
      <c r="H917" s="43"/>
      <c r="I917" s="44"/>
      <c r="M917" s="26"/>
    </row>
    <row r="918">
      <c r="A918" s="42"/>
      <c r="B918" s="35"/>
      <c r="H918" s="43"/>
      <c r="I918" s="44"/>
      <c r="M918" s="26"/>
    </row>
    <row r="919">
      <c r="A919" s="42"/>
      <c r="B919" s="35"/>
      <c r="H919" s="43"/>
      <c r="I919" s="44"/>
      <c r="M919" s="26"/>
    </row>
    <row r="920">
      <c r="A920" s="42"/>
      <c r="B920" s="35"/>
      <c r="H920" s="43"/>
      <c r="I920" s="44"/>
      <c r="M920" s="26"/>
    </row>
    <row r="921">
      <c r="A921" s="42"/>
      <c r="B921" s="35"/>
      <c r="H921" s="43"/>
      <c r="I921" s="44"/>
      <c r="M921" s="26"/>
    </row>
    <row r="922">
      <c r="A922" s="42"/>
      <c r="B922" s="35"/>
      <c r="H922" s="43"/>
      <c r="I922" s="44"/>
      <c r="M922" s="26"/>
    </row>
    <row r="923">
      <c r="A923" s="42"/>
      <c r="B923" s="35"/>
      <c r="H923" s="43"/>
      <c r="I923" s="44"/>
      <c r="M923" s="26"/>
    </row>
    <row r="924">
      <c r="A924" s="42"/>
      <c r="B924" s="35"/>
      <c r="H924" s="43"/>
      <c r="I924" s="44"/>
      <c r="M924" s="26"/>
    </row>
    <row r="925">
      <c r="A925" s="42"/>
      <c r="B925" s="35"/>
      <c r="H925" s="43"/>
      <c r="I925" s="44"/>
      <c r="M925" s="26"/>
    </row>
    <row r="926">
      <c r="A926" s="42"/>
      <c r="B926" s="35"/>
      <c r="H926" s="43"/>
      <c r="I926" s="44"/>
      <c r="M926" s="26"/>
    </row>
    <row r="927">
      <c r="A927" s="42"/>
      <c r="B927" s="35"/>
      <c r="H927" s="43"/>
      <c r="I927" s="44"/>
      <c r="M927" s="26"/>
    </row>
    <row r="928">
      <c r="A928" s="42"/>
      <c r="B928" s="35"/>
      <c r="H928" s="43"/>
      <c r="I928" s="44"/>
      <c r="M928" s="26"/>
    </row>
    <row r="929">
      <c r="A929" s="42"/>
      <c r="B929" s="35"/>
      <c r="H929" s="43"/>
      <c r="I929" s="44"/>
      <c r="M929" s="26"/>
    </row>
    <row r="930">
      <c r="A930" s="42"/>
      <c r="B930" s="35"/>
      <c r="H930" s="43"/>
      <c r="I930" s="44"/>
      <c r="M930" s="26"/>
    </row>
    <row r="931">
      <c r="A931" s="42"/>
      <c r="B931" s="35"/>
      <c r="H931" s="43"/>
      <c r="I931" s="44"/>
      <c r="M931" s="26"/>
    </row>
    <row r="932">
      <c r="A932" s="42"/>
      <c r="B932" s="35"/>
      <c r="H932" s="43"/>
      <c r="I932" s="44"/>
      <c r="M932" s="26"/>
    </row>
    <row r="933">
      <c r="A933" s="42"/>
      <c r="B933" s="35"/>
      <c r="H933" s="43"/>
      <c r="I933" s="44"/>
      <c r="M933" s="26"/>
    </row>
    <row r="934">
      <c r="A934" s="42"/>
      <c r="B934" s="35"/>
      <c r="H934" s="43"/>
      <c r="I934" s="44"/>
      <c r="M934" s="26"/>
    </row>
    <row r="935">
      <c r="A935" s="42"/>
      <c r="B935" s="35"/>
      <c r="H935" s="43"/>
      <c r="I935" s="44"/>
      <c r="M935" s="26"/>
    </row>
    <row r="936">
      <c r="A936" s="42"/>
      <c r="B936" s="35"/>
      <c r="H936" s="43"/>
      <c r="I936" s="44"/>
      <c r="M936" s="26"/>
    </row>
    <row r="937">
      <c r="A937" s="42"/>
      <c r="B937" s="35"/>
      <c r="H937" s="43"/>
      <c r="I937" s="44"/>
      <c r="M937" s="26"/>
    </row>
    <row r="938">
      <c r="A938" s="42"/>
      <c r="B938" s="35"/>
      <c r="H938" s="43"/>
      <c r="I938" s="44"/>
      <c r="M938" s="26"/>
    </row>
    <row r="939">
      <c r="A939" s="42"/>
      <c r="B939" s="35"/>
      <c r="H939" s="43"/>
      <c r="I939" s="44"/>
      <c r="M939" s="26"/>
    </row>
    <row r="940">
      <c r="A940" s="42"/>
      <c r="B940" s="35"/>
      <c r="H940" s="43"/>
      <c r="I940" s="44"/>
      <c r="M940" s="26"/>
    </row>
    <row r="941">
      <c r="A941" s="42"/>
      <c r="B941" s="35"/>
      <c r="H941" s="43"/>
      <c r="I941" s="44"/>
      <c r="M941" s="26"/>
    </row>
    <row r="942">
      <c r="A942" s="42"/>
      <c r="B942" s="35"/>
      <c r="H942" s="43"/>
      <c r="I942" s="44"/>
      <c r="M942" s="26"/>
    </row>
    <row r="943">
      <c r="A943" s="42"/>
      <c r="B943" s="35"/>
      <c r="H943" s="43"/>
      <c r="I943" s="44"/>
      <c r="M943" s="26"/>
    </row>
    <row r="944">
      <c r="A944" s="42"/>
      <c r="B944" s="35"/>
      <c r="H944" s="43"/>
      <c r="I944" s="44"/>
      <c r="M944" s="26"/>
    </row>
    <row r="945">
      <c r="A945" s="42"/>
      <c r="B945" s="35"/>
      <c r="H945" s="43"/>
      <c r="I945" s="44"/>
      <c r="M945" s="26"/>
    </row>
    <row r="946">
      <c r="A946" s="42"/>
      <c r="B946" s="35"/>
      <c r="H946" s="43"/>
      <c r="I946" s="44"/>
      <c r="M946" s="26"/>
    </row>
    <row r="947">
      <c r="A947" s="42"/>
      <c r="B947" s="35"/>
      <c r="H947" s="43"/>
      <c r="I947" s="44"/>
      <c r="M947" s="26"/>
    </row>
    <row r="948">
      <c r="A948" s="42"/>
      <c r="B948" s="35"/>
      <c r="H948" s="43"/>
      <c r="I948" s="44"/>
      <c r="M948" s="26"/>
    </row>
    <row r="949">
      <c r="A949" s="42"/>
      <c r="B949" s="35"/>
      <c r="H949" s="43"/>
      <c r="I949" s="44"/>
      <c r="M949" s="26"/>
    </row>
    <row r="950">
      <c r="A950" s="42"/>
      <c r="B950" s="35"/>
      <c r="H950" s="43"/>
      <c r="I950" s="44"/>
      <c r="M950" s="26"/>
    </row>
    <row r="951">
      <c r="A951" s="42"/>
      <c r="B951" s="35"/>
      <c r="H951" s="43"/>
      <c r="I951" s="44"/>
      <c r="M951" s="26"/>
    </row>
    <row r="952">
      <c r="A952" s="42"/>
      <c r="B952" s="35"/>
      <c r="H952" s="43"/>
      <c r="I952" s="44"/>
      <c r="M952" s="26"/>
    </row>
    <row r="953">
      <c r="A953" s="42"/>
      <c r="B953" s="35"/>
      <c r="H953" s="43"/>
      <c r="I953" s="44"/>
      <c r="M953" s="26"/>
    </row>
    <row r="954">
      <c r="A954" s="42"/>
      <c r="B954" s="35"/>
      <c r="H954" s="43"/>
      <c r="I954" s="44"/>
      <c r="M954" s="26"/>
    </row>
    <row r="955">
      <c r="A955" s="42"/>
      <c r="B955" s="35"/>
      <c r="H955" s="43"/>
      <c r="I955" s="44"/>
      <c r="M955" s="26"/>
    </row>
    <row r="956">
      <c r="A956" s="42"/>
      <c r="B956" s="35"/>
      <c r="H956" s="43"/>
      <c r="I956" s="44"/>
      <c r="M956" s="26"/>
    </row>
    <row r="957">
      <c r="A957" s="42"/>
      <c r="B957" s="35"/>
      <c r="H957" s="43"/>
      <c r="I957" s="44"/>
      <c r="M957" s="26"/>
    </row>
    <row r="958">
      <c r="A958" s="42"/>
      <c r="B958" s="35"/>
      <c r="H958" s="43"/>
      <c r="I958" s="44"/>
      <c r="M958" s="26"/>
    </row>
    <row r="959">
      <c r="A959" s="42"/>
      <c r="B959" s="35"/>
      <c r="H959" s="43"/>
      <c r="I959" s="44"/>
      <c r="M959" s="26"/>
    </row>
    <row r="960">
      <c r="A960" s="42"/>
      <c r="B960" s="35"/>
      <c r="H960" s="43"/>
      <c r="I960" s="44"/>
      <c r="M960" s="26"/>
    </row>
    <row r="961">
      <c r="A961" s="42"/>
      <c r="B961" s="35"/>
      <c r="H961" s="43"/>
      <c r="I961" s="44"/>
      <c r="M961" s="26"/>
    </row>
    <row r="962">
      <c r="A962" s="42"/>
      <c r="B962" s="35"/>
      <c r="H962" s="43"/>
      <c r="I962" s="44"/>
      <c r="M962" s="26"/>
    </row>
    <row r="963">
      <c r="A963" s="42"/>
      <c r="B963" s="35"/>
      <c r="H963" s="43"/>
      <c r="I963" s="44"/>
      <c r="M963" s="26"/>
    </row>
    <row r="964">
      <c r="A964" s="42"/>
      <c r="B964" s="35"/>
      <c r="H964" s="43"/>
      <c r="I964" s="44"/>
      <c r="M964" s="26"/>
    </row>
    <row r="965">
      <c r="A965" s="42"/>
      <c r="B965" s="35"/>
      <c r="H965" s="43"/>
      <c r="I965" s="44"/>
      <c r="M965" s="26"/>
    </row>
    <row r="966">
      <c r="A966" s="42"/>
      <c r="B966" s="35"/>
      <c r="H966" s="43"/>
      <c r="I966" s="44"/>
      <c r="M966" s="26"/>
    </row>
    <row r="967">
      <c r="A967" s="42"/>
      <c r="B967" s="35"/>
      <c r="H967" s="43"/>
      <c r="I967" s="44"/>
      <c r="M967" s="26"/>
    </row>
    <row r="968">
      <c r="A968" s="42"/>
      <c r="B968" s="35"/>
      <c r="H968" s="43"/>
      <c r="I968" s="44"/>
      <c r="M968" s="26"/>
    </row>
    <row r="969">
      <c r="A969" s="42"/>
      <c r="B969" s="35"/>
      <c r="H969" s="43"/>
      <c r="I969" s="44"/>
      <c r="M969" s="26"/>
    </row>
    <row r="970">
      <c r="A970" s="42"/>
      <c r="B970" s="35"/>
      <c r="H970" s="43"/>
      <c r="I970" s="44"/>
      <c r="M970" s="26"/>
    </row>
    <row r="971">
      <c r="A971" s="42"/>
      <c r="B971" s="35"/>
      <c r="H971" s="43"/>
      <c r="I971" s="44"/>
      <c r="M971" s="26"/>
    </row>
    <row r="972">
      <c r="A972" s="42"/>
      <c r="B972" s="35"/>
      <c r="H972" s="43"/>
      <c r="I972" s="44"/>
      <c r="M972" s="26"/>
    </row>
    <row r="973">
      <c r="A973" s="42"/>
      <c r="B973" s="35"/>
      <c r="H973" s="43"/>
      <c r="I973" s="44"/>
      <c r="M973" s="26"/>
    </row>
    <row r="974">
      <c r="A974" s="42"/>
      <c r="B974" s="35"/>
      <c r="H974" s="43"/>
      <c r="I974" s="44"/>
      <c r="M974" s="26"/>
    </row>
    <row r="975">
      <c r="A975" s="42"/>
      <c r="B975" s="35"/>
      <c r="H975" s="43"/>
      <c r="I975" s="44"/>
      <c r="M975" s="26"/>
    </row>
    <row r="976">
      <c r="A976" s="42"/>
      <c r="B976" s="35"/>
      <c r="H976" s="43"/>
      <c r="I976" s="44"/>
      <c r="M976" s="26"/>
    </row>
    <row r="977">
      <c r="A977" s="42"/>
      <c r="B977" s="35"/>
      <c r="H977" s="43"/>
      <c r="I977" s="44"/>
      <c r="M977" s="26"/>
    </row>
    <row r="978">
      <c r="A978" s="42"/>
      <c r="B978" s="35"/>
      <c r="H978" s="43"/>
      <c r="I978" s="44"/>
      <c r="M978" s="26"/>
    </row>
    <row r="979">
      <c r="A979" s="42"/>
      <c r="B979" s="35"/>
      <c r="H979" s="43"/>
      <c r="I979" s="44"/>
      <c r="M979" s="26"/>
    </row>
    <row r="980">
      <c r="A980" s="42"/>
      <c r="B980" s="35"/>
      <c r="H980" s="43"/>
      <c r="I980" s="44"/>
      <c r="M980" s="26"/>
    </row>
    <row r="981">
      <c r="A981" s="42"/>
      <c r="B981" s="35"/>
      <c r="H981" s="43"/>
      <c r="I981" s="44"/>
      <c r="M981" s="26"/>
    </row>
    <row r="982">
      <c r="A982" s="42"/>
      <c r="B982" s="35"/>
      <c r="H982" s="43"/>
      <c r="I982" s="44"/>
      <c r="M982" s="26"/>
    </row>
    <row r="983">
      <c r="A983" s="42"/>
      <c r="B983" s="35"/>
      <c r="H983" s="43"/>
      <c r="I983" s="44"/>
      <c r="M983" s="26"/>
    </row>
    <row r="984">
      <c r="A984" s="42"/>
      <c r="B984" s="35"/>
      <c r="H984" s="43"/>
      <c r="I984" s="44"/>
      <c r="M984" s="26"/>
    </row>
    <row r="985">
      <c r="A985" s="42"/>
      <c r="B985" s="35"/>
      <c r="H985" s="43"/>
      <c r="I985" s="44"/>
      <c r="M985" s="26"/>
    </row>
    <row r="986">
      <c r="A986" s="42"/>
      <c r="B986" s="35"/>
      <c r="H986" s="43"/>
      <c r="I986" s="44"/>
      <c r="M986" s="26"/>
    </row>
    <row r="987">
      <c r="A987" s="42"/>
      <c r="B987" s="35"/>
      <c r="H987" s="43"/>
      <c r="I987" s="44"/>
      <c r="M987" s="26"/>
    </row>
    <row r="988">
      <c r="A988" s="42"/>
      <c r="B988" s="35"/>
      <c r="H988" s="43"/>
      <c r="I988" s="44"/>
      <c r="M988" s="26"/>
    </row>
    <row r="989">
      <c r="A989" s="42"/>
      <c r="B989" s="35"/>
      <c r="H989" s="43"/>
      <c r="I989" s="44"/>
      <c r="M989" s="26"/>
    </row>
    <row r="990">
      <c r="A990" s="42"/>
      <c r="B990" s="35"/>
      <c r="H990" s="43"/>
      <c r="I990" s="44"/>
      <c r="M990" s="26"/>
    </row>
    <row r="991">
      <c r="A991" s="42"/>
      <c r="B991" s="35"/>
      <c r="H991" s="43"/>
      <c r="I991" s="44"/>
      <c r="M991" s="26"/>
    </row>
    <row r="992">
      <c r="A992" s="42"/>
      <c r="B992" s="35"/>
      <c r="H992" s="43"/>
      <c r="I992" s="44"/>
      <c r="M992" s="26"/>
    </row>
    <row r="993">
      <c r="A993" s="42"/>
      <c r="B993" s="35"/>
      <c r="H993" s="43"/>
      <c r="I993" s="44"/>
      <c r="M993" s="26"/>
    </row>
    <row r="994">
      <c r="A994" s="42"/>
      <c r="B994" s="35"/>
      <c r="H994" s="43"/>
      <c r="I994" s="44"/>
      <c r="M994" s="26"/>
    </row>
    <row r="995">
      <c r="A995" s="42"/>
      <c r="B995" s="35"/>
      <c r="H995" s="43"/>
      <c r="I995" s="44"/>
      <c r="M995" s="26"/>
    </row>
    <row r="996">
      <c r="A996" s="42"/>
      <c r="B996" s="35"/>
      <c r="H996" s="43"/>
      <c r="I996" s="44"/>
      <c r="M996" s="26"/>
    </row>
    <row r="997">
      <c r="A997" s="42"/>
      <c r="B997" s="35"/>
      <c r="H997" s="43"/>
      <c r="I997" s="44"/>
      <c r="M997" s="26"/>
    </row>
    <row r="998">
      <c r="A998" s="42"/>
      <c r="B998" s="35"/>
      <c r="H998" s="43"/>
      <c r="I998" s="44"/>
      <c r="M998" s="26"/>
    </row>
    <row r="999">
      <c r="A999" s="42"/>
      <c r="B999" s="35"/>
      <c r="H999" s="43"/>
      <c r="I999" s="44"/>
      <c r="M999" s="26"/>
    </row>
    <row r="1000">
      <c r="A1000" s="42"/>
      <c r="B1000" s="35"/>
      <c r="H1000" s="43"/>
      <c r="I1000" s="44"/>
      <c r="M1000" s="26"/>
    </row>
    <row r="1001">
      <c r="A1001" s="42"/>
      <c r="B1001" s="35"/>
      <c r="H1001" s="43"/>
      <c r="I1001" s="44"/>
      <c r="M1001" s="26"/>
    </row>
    <row r="1002">
      <c r="A1002" s="42"/>
      <c r="B1002" s="35"/>
      <c r="H1002" s="43"/>
      <c r="I1002" s="44"/>
      <c r="M1002" s="26"/>
    </row>
    <row r="1003">
      <c r="A1003" s="42"/>
      <c r="B1003" s="35"/>
      <c r="H1003" s="43"/>
      <c r="I1003" s="44"/>
      <c r="M1003" s="26"/>
    </row>
    <row r="1004">
      <c r="A1004" s="42"/>
      <c r="B1004" s="35"/>
      <c r="H1004" s="43"/>
      <c r="I1004" s="44"/>
      <c r="M1004" s="26"/>
    </row>
    <row r="1005">
      <c r="A1005" s="42"/>
      <c r="B1005" s="35"/>
      <c r="H1005" s="43"/>
      <c r="I1005" s="44"/>
      <c r="M1005" s="26"/>
    </row>
    <row r="1006">
      <c r="A1006" s="42"/>
      <c r="B1006" s="35"/>
      <c r="H1006" s="43"/>
      <c r="I1006" s="44"/>
      <c r="M1006" s="26"/>
    </row>
    <row r="1007">
      <c r="A1007" s="42"/>
      <c r="B1007" s="35"/>
      <c r="H1007" s="43"/>
      <c r="I1007" s="44"/>
      <c r="M1007" s="26"/>
    </row>
    <row r="1008">
      <c r="A1008" s="42"/>
      <c r="B1008" s="35"/>
      <c r="H1008" s="43"/>
      <c r="I1008" s="44"/>
      <c r="M1008" s="26"/>
    </row>
    <row r="1009">
      <c r="A1009" s="42"/>
      <c r="B1009" s="35"/>
      <c r="H1009" s="43"/>
      <c r="I1009" s="44"/>
      <c r="M1009" s="26"/>
    </row>
    <row r="1010">
      <c r="A1010" s="42"/>
      <c r="B1010" s="35"/>
      <c r="H1010" s="43"/>
      <c r="I1010" s="44"/>
      <c r="M1010" s="26"/>
    </row>
    <row r="1011">
      <c r="A1011" s="42"/>
      <c r="B1011" s="35"/>
      <c r="H1011" s="43"/>
      <c r="I1011" s="44"/>
      <c r="M1011" s="26"/>
    </row>
    <row r="1012">
      <c r="A1012" s="42"/>
      <c r="B1012" s="35"/>
      <c r="H1012" s="43"/>
      <c r="I1012" s="44"/>
      <c r="M1012" s="26"/>
    </row>
    <row r="1013">
      <c r="A1013" s="42"/>
      <c r="B1013" s="35"/>
      <c r="H1013" s="43"/>
      <c r="I1013" s="44"/>
      <c r="M1013" s="26"/>
    </row>
    <row r="1014">
      <c r="A1014" s="42"/>
      <c r="B1014" s="35"/>
      <c r="H1014" s="43"/>
      <c r="I1014" s="44"/>
      <c r="M1014" s="26"/>
    </row>
    <row r="1015">
      <c r="A1015" s="42"/>
      <c r="B1015" s="35"/>
      <c r="H1015" s="43"/>
      <c r="I1015" s="44"/>
      <c r="M1015" s="26"/>
    </row>
    <row r="1016">
      <c r="A1016" s="42"/>
      <c r="B1016" s="35"/>
      <c r="H1016" s="43"/>
      <c r="I1016" s="44"/>
      <c r="M1016" s="26"/>
    </row>
    <row r="1017">
      <c r="A1017" s="42"/>
      <c r="B1017" s="35"/>
      <c r="H1017" s="43"/>
      <c r="I1017" s="44"/>
      <c r="M1017" s="26"/>
    </row>
    <row r="1018">
      <c r="A1018" s="42"/>
      <c r="B1018" s="35"/>
      <c r="H1018" s="43"/>
      <c r="I1018" s="44"/>
      <c r="M1018" s="26"/>
    </row>
    <row r="1019">
      <c r="A1019" s="42"/>
      <c r="B1019" s="35"/>
      <c r="H1019" s="43"/>
      <c r="I1019" s="44"/>
      <c r="M1019" s="26"/>
    </row>
    <row r="1020">
      <c r="A1020" s="42"/>
      <c r="B1020" s="35"/>
      <c r="H1020" s="43"/>
      <c r="I1020" s="44"/>
      <c r="M1020" s="26"/>
    </row>
    <row r="1021">
      <c r="A1021" s="42"/>
      <c r="B1021" s="35"/>
      <c r="H1021" s="43"/>
      <c r="I1021" s="44"/>
      <c r="M1021" s="26"/>
    </row>
    <row r="1022">
      <c r="A1022" s="42"/>
      <c r="B1022" s="35"/>
      <c r="H1022" s="43"/>
      <c r="I1022" s="44"/>
      <c r="M1022" s="26"/>
    </row>
    <row r="1023">
      <c r="A1023" s="42"/>
      <c r="B1023" s="35"/>
      <c r="H1023" s="43"/>
      <c r="I1023" s="44"/>
      <c r="M1023" s="26"/>
    </row>
    <row r="1024">
      <c r="A1024" s="42"/>
      <c r="B1024" s="35"/>
      <c r="H1024" s="43"/>
      <c r="I1024" s="44"/>
      <c r="M1024" s="26"/>
    </row>
    <row r="1025">
      <c r="A1025" s="42"/>
      <c r="B1025" s="35"/>
      <c r="H1025" s="43"/>
      <c r="I1025" s="44"/>
      <c r="M1025" s="26"/>
    </row>
    <row r="1026">
      <c r="A1026" s="42"/>
      <c r="B1026" s="35"/>
      <c r="H1026" s="43"/>
      <c r="I1026" s="44"/>
      <c r="M1026" s="26"/>
    </row>
    <row r="1027">
      <c r="A1027" s="42"/>
      <c r="B1027" s="35"/>
      <c r="H1027" s="43"/>
      <c r="I1027" s="44"/>
      <c r="M1027" s="26"/>
    </row>
    <row r="1028">
      <c r="A1028" s="42"/>
      <c r="B1028" s="35"/>
      <c r="H1028" s="43"/>
      <c r="I1028" s="44"/>
      <c r="M1028" s="26"/>
    </row>
    <row r="1029">
      <c r="A1029" s="42"/>
      <c r="B1029" s="35"/>
      <c r="H1029" s="43"/>
      <c r="I1029" s="44"/>
      <c r="M1029" s="26"/>
    </row>
    <row r="1030">
      <c r="A1030" s="42"/>
      <c r="B1030" s="35"/>
      <c r="H1030" s="43"/>
      <c r="I1030" s="44"/>
      <c r="M1030" s="26"/>
    </row>
    <row r="1031">
      <c r="A1031" s="42"/>
      <c r="B1031" s="35"/>
      <c r="H1031" s="43"/>
      <c r="I1031" s="44"/>
      <c r="M1031" s="26"/>
    </row>
    <row r="1032">
      <c r="A1032" s="42"/>
      <c r="B1032" s="35"/>
      <c r="H1032" s="43"/>
      <c r="I1032" s="44"/>
      <c r="M1032" s="26"/>
    </row>
    <row r="1033">
      <c r="A1033" s="42"/>
      <c r="B1033" s="35"/>
      <c r="H1033" s="43"/>
      <c r="I1033" s="44"/>
      <c r="M1033" s="26"/>
    </row>
    <row r="1034">
      <c r="A1034" s="42"/>
      <c r="B1034" s="35"/>
      <c r="H1034" s="43"/>
      <c r="I1034" s="44"/>
      <c r="M1034" s="26"/>
    </row>
    <row r="1035">
      <c r="A1035" s="42"/>
      <c r="B1035" s="35"/>
      <c r="H1035" s="43"/>
      <c r="I1035" s="44"/>
      <c r="M1035" s="26"/>
    </row>
    <row r="1036">
      <c r="A1036" s="42"/>
      <c r="B1036" s="35"/>
      <c r="H1036" s="43"/>
      <c r="I1036" s="44"/>
      <c r="M1036" s="26"/>
    </row>
    <row r="1037">
      <c r="A1037" s="42"/>
      <c r="B1037" s="35"/>
      <c r="H1037" s="43"/>
      <c r="I1037" s="44"/>
      <c r="M1037" s="26"/>
    </row>
    <row r="1038">
      <c r="A1038" s="42"/>
      <c r="B1038" s="35"/>
      <c r="H1038" s="43"/>
      <c r="I1038" s="44"/>
      <c r="M1038" s="26"/>
    </row>
    <row r="1039">
      <c r="A1039" s="42"/>
      <c r="B1039" s="35"/>
      <c r="H1039" s="43"/>
      <c r="I1039" s="44"/>
      <c r="M1039" s="26"/>
    </row>
    <row r="1040">
      <c r="A1040" s="42"/>
      <c r="B1040" s="35"/>
      <c r="H1040" s="43"/>
      <c r="I1040" s="44"/>
      <c r="M1040" s="26"/>
    </row>
    <row r="1041">
      <c r="A1041" s="42"/>
      <c r="B1041" s="35"/>
      <c r="H1041" s="43"/>
      <c r="I1041" s="44"/>
      <c r="M1041" s="26"/>
    </row>
    <row r="1042">
      <c r="A1042" s="42"/>
      <c r="B1042" s="35"/>
      <c r="H1042" s="43"/>
      <c r="I1042" s="44"/>
      <c r="M1042" s="26"/>
    </row>
    <row r="1043">
      <c r="A1043" s="42"/>
      <c r="B1043" s="35"/>
      <c r="H1043" s="43"/>
      <c r="I1043" s="44"/>
      <c r="M1043" s="26"/>
    </row>
    <row r="1044">
      <c r="A1044" s="42"/>
      <c r="B1044" s="35"/>
      <c r="H1044" s="43"/>
      <c r="I1044" s="44"/>
      <c r="M1044" s="26"/>
    </row>
    <row r="1045">
      <c r="A1045" s="42"/>
      <c r="B1045" s="35"/>
      <c r="H1045" s="43"/>
      <c r="I1045" s="44"/>
      <c r="M1045" s="26"/>
    </row>
    <row r="1046">
      <c r="A1046" s="42"/>
      <c r="B1046" s="35"/>
      <c r="H1046" s="43"/>
      <c r="I1046" s="44"/>
      <c r="M1046" s="26"/>
    </row>
    <row r="1047">
      <c r="A1047" s="42"/>
      <c r="B1047" s="35"/>
      <c r="H1047" s="43"/>
      <c r="I1047" s="44"/>
      <c r="M1047" s="26"/>
    </row>
    <row r="1048">
      <c r="A1048" s="42"/>
      <c r="B1048" s="35"/>
      <c r="H1048" s="43"/>
      <c r="I1048" s="44"/>
      <c r="M1048" s="26"/>
    </row>
    <row r="1049">
      <c r="A1049" s="42"/>
      <c r="B1049" s="35"/>
      <c r="H1049" s="43"/>
      <c r="I1049" s="44"/>
      <c r="M1049" s="26"/>
    </row>
    <row r="1050">
      <c r="A1050" s="42"/>
      <c r="B1050" s="35"/>
      <c r="H1050" s="43"/>
      <c r="I1050" s="44"/>
      <c r="M1050" s="26"/>
    </row>
    <row r="1051">
      <c r="A1051" s="42"/>
      <c r="B1051" s="35"/>
      <c r="H1051" s="43"/>
      <c r="I1051" s="44"/>
      <c r="M1051" s="26"/>
    </row>
    <row r="1052">
      <c r="A1052" s="42"/>
      <c r="B1052" s="35"/>
      <c r="H1052" s="43"/>
      <c r="I1052" s="44"/>
      <c r="M1052" s="26"/>
    </row>
    <row r="1053">
      <c r="A1053" s="42"/>
      <c r="B1053" s="35"/>
      <c r="H1053" s="43"/>
      <c r="I1053" s="44"/>
      <c r="M1053" s="26"/>
    </row>
    <row r="1054">
      <c r="A1054" s="42"/>
      <c r="B1054" s="35"/>
      <c r="H1054" s="43"/>
      <c r="I1054" s="44"/>
      <c r="M1054" s="26"/>
    </row>
    <row r="1055">
      <c r="A1055" s="42"/>
      <c r="B1055" s="35"/>
      <c r="H1055" s="43"/>
      <c r="I1055" s="44"/>
      <c r="M1055" s="26"/>
    </row>
    <row r="1056">
      <c r="A1056" s="42"/>
      <c r="B1056" s="35"/>
      <c r="H1056" s="43"/>
      <c r="I1056" s="44"/>
      <c r="M1056" s="26"/>
    </row>
    <row r="1057">
      <c r="A1057" s="42"/>
      <c r="B1057" s="35"/>
      <c r="H1057" s="43"/>
      <c r="I1057" s="44"/>
      <c r="M1057" s="26"/>
    </row>
    <row r="1058">
      <c r="A1058" s="42"/>
      <c r="B1058" s="35"/>
      <c r="H1058" s="43"/>
      <c r="I1058" s="44"/>
      <c r="M1058" s="26"/>
    </row>
    <row r="1059">
      <c r="A1059" s="42"/>
      <c r="B1059" s="35"/>
      <c r="H1059" s="43"/>
      <c r="I1059" s="44"/>
      <c r="M1059" s="26"/>
    </row>
    <row r="1060">
      <c r="A1060" s="42"/>
      <c r="B1060" s="35"/>
      <c r="H1060" s="43"/>
      <c r="I1060" s="44"/>
      <c r="M1060" s="26"/>
    </row>
    <row r="1061">
      <c r="A1061" s="42"/>
      <c r="B1061" s="35"/>
      <c r="H1061" s="43"/>
      <c r="I1061" s="44"/>
      <c r="M1061" s="26"/>
    </row>
    <row r="1062">
      <c r="A1062" s="42"/>
      <c r="B1062" s="35"/>
      <c r="H1062" s="43"/>
      <c r="I1062" s="44"/>
      <c r="M1062" s="26"/>
    </row>
    <row r="1063">
      <c r="A1063" s="42"/>
      <c r="B1063" s="35"/>
      <c r="H1063" s="43"/>
      <c r="I1063" s="44"/>
      <c r="M1063" s="26"/>
    </row>
    <row r="1064">
      <c r="A1064" s="42"/>
      <c r="B1064" s="35"/>
      <c r="H1064" s="43"/>
      <c r="I1064" s="44"/>
      <c r="M1064" s="26"/>
    </row>
    <row r="1065">
      <c r="A1065" s="42"/>
      <c r="B1065" s="35"/>
      <c r="H1065" s="43"/>
      <c r="I1065" s="44"/>
      <c r="M1065" s="26"/>
    </row>
    <row r="1066">
      <c r="A1066" s="42"/>
      <c r="B1066" s="35"/>
      <c r="H1066" s="43"/>
      <c r="I1066" s="44"/>
      <c r="M1066" s="26"/>
    </row>
    <row r="1067">
      <c r="A1067" s="42"/>
      <c r="B1067" s="35"/>
      <c r="H1067" s="43"/>
      <c r="I1067" s="44"/>
      <c r="M1067" s="26"/>
    </row>
    <row r="1068">
      <c r="A1068" s="42"/>
      <c r="B1068" s="35"/>
      <c r="H1068" s="43"/>
      <c r="I1068" s="44"/>
      <c r="M1068" s="26"/>
    </row>
    <row r="1069">
      <c r="A1069" s="42"/>
      <c r="B1069" s="35"/>
      <c r="H1069" s="43"/>
      <c r="I1069" s="44"/>
      <c r="M1069" s="26"/>
    </row>
    <row r="1070">
      <c r="A1070" s="42"/>
      <c r="B1070" s="35"/>
      <c r="H1070" s="43"/>
      <c r="I1070" s="44"/>
      <c r="M1070" s="26"/>
    </row>
    <row r="1071">
      <c r="A1071" s="42"/>
      <c r="B1071" s="35"/>
      <c r="H1071" s="43"/>
      <c r="I1071" s="44"/>
      <c r="M1071" s="26"/>
    </row>
    <row r="1072">
      <c r="A1072" s="42"/>
      <c r="B1072" s="35"/>
      <c r="H1072" s="43"/>
      <c r="I1072" s="44"/>
      <c r="M1072" s="26"/>
    </row>
    <row r="1073">
      <c r="A1073" s="42"/>
      <c r="B1073" s="35"/>
      <c r="H1073" s="43"/>
      <c r="I1073" s="44"/>
      <c r="M1073" s="26"/>
    </row>
    <row r="1074">
      <c r="A1074" s="42"/>
      <c r="B1074" s="35"/>
      <c r="H1074" s="43"/>
      <c r="I1074" s="44"/>
      <c r="M1074" s="26"/>
    </row>
    <row r="1075">
      <c r="A1075" s="42"/>
      <c r="B1075" s="35"/>
      <c r="H1075" s="43"/>
      <c r="I1075" s="44"/>
      <c r="M1075" s="26"/>
    </row>
    <row r="1076">
      <c r="A1076" s="42"/>
      <c r="B1076" s="35"/>
      <c r="H1076" s="43"/>
      <c r="I1076" s="44"/>
      <c r="M1076" s="26"/>
    </row>
    <row r="1077">
      <c r="A1077" s="42"/>
      <c r="B1077" s="35"/>
      <c r="H1077" s="43"/>
      <c r="I1077" s="44"/>
      <c r="M1077" s="26"/>
    </row>
    <row r="1078">
      <c r="A1078" s="42"/>
      <c r="B1078" s="35"/>
      <c r="H1078" s="43"/>
      <c r="I1078" s="44"/>
      <c r="M1078" s="26"/>
    </row>
    <row r="1079">
      <c r="A1079" s="42"/>
      <c r="B1079" s="35"/>
      <c r="H1079" s="43"/>
      <c r="I1079" s="44"/>
      <c r="M1079" s="26"/>
    </row>
    <row r="1080">
      <c r="A1080" s="42"/>
      <c r="B1080" s="35"/>
      <c r="H1080" s="43"/>
      <c r="I1080" s="44"/>
      <c r="M1080" s="26"/>
    </row>
    <row r="1081">
      <c r="A1081" s="42"/>
      <c r="B1081" s="35"/>
      <c r="H1081" s="43"/>
      <c r="I1081" s="44"/>
      <c r="M1081" s="26"/>
    </row>
    <row r="1082">
      <c r="A1082" s="42"/>
      <c r="B1082" s="35"/>
      <c r="H1082" s="43"/>
      <c r="I1082" s="44"/>
      <c r="M1082" s="26"/>
    </row>
    <row r="1083">
      <c r="A1083" s="42"/>
      <c r="B1083" s="35"/>
      <c r="H1083" s="43"/>
      <c r="I1083" s="44"/>
      <c r="M1083" s="26"/>
    </row>
    <row r="1084">
      <c r="A1084" s="42"/>
      <c r="B1084" s="35"/>
      <c r="H1084" s="43"/>
      <c r="I1084" s="44"/>
      <c r="M1084" s="26"/>
    </row>
    <row r="1085">
      <c r="A1085" s="42"/>
      <c r="B1085" s="35"/>
      <c r="H1085" s="43"/>
      <c r="I1085" s="44"/>
      <c r="M1085" s="26"/>
    </row>
    <row r="1086">
      <c r="A1086" s="42"/>
      <c r="B1086" s="35"/>
      <c r="H1086" s="43"/>
      <c r="I1086" s="44"/>
      <c r="M1086" s="26"/>
    </row>
    <row r="1087">
      <c r="A1087" s="42"/>
      <c r="B1087" s="35"/>
      <c r="H1087" s="43"/>
      <c r="I1087" s="44"/>
      <c r="M1087" s="26"/>
    </row>
    <row r="1088">
      <c r="A1088" s="42"/>
      <c r="B1088" s="35"/>
      <c r="H1088" s="43"/>
      <c r="I1088" s="44"/>
      <c r="M1088" s="26"/>
    </row>
    <row r="1089">
      <c r="A1089" s="42"/>
      <c r="B1089" s="35"/>
      <c r="H1089" s="43"/>
      <c r="I1089" s="44"/>
      <c r="M1089" s="26"/>
    </row>
    <row r="1090">
      <c r="A1090" s="42"/>
      <c r="B1090" s="35"/>
      <c r="H1090" s="43"/>
      <c r="I1090" s="44"/>
      <c r="M1090" s="26"/>
    </row>
    <row r="1091">
      <c r="A1091" s="42"/>
      <c r="B1091" s="35"/>
      <c r="H1091" s="43"/>
      <c r="I1091" s="44"/>
      <c r="M1091" s="26"/>
    </row>
    <row r="1092">
      <c r="A1092" s="42"/>
      <c r="B1092" s="35"/>
      <c r="H1092" s="43"/>
      <c r="I1092" s="44"/>
      <c r="M1092" s="26"/>
    </row>
    <row r="1093">
      <c r="A1093" s="42"/>
      <c r="B1093" s="35"/>
      <c r="H1093" s="43"/>
      <c r="I1093" s="44"/>
      <c r="M1093" s="26"/>
    </row>
    <row r="1094">
      <c r="A1094" s="42"/>
      <c r="B1094" s="35"/>
      <c r="H1094" s="43"/>
      <c r="I1094" s="44"/>
      <c r="M1094" s="26"/>
    </row>
    <row r="1095">
      <c r="A1095" s="42"/>
      <c r="B1095" s="35"/>
      <c r="H1095" s="43"/>
      <c r="I1095" s="44"/>
      <c r="M1095" s="26"/>
    </row>
    <row r="1096">
      <c r="A1096" s="42"/>
      <c r="B1096" s="35"/>
      <c r="H1096" s="43"/>
      <c r="I1096" s="44"/>
      <c r="M1096" s="26"/>
    </row>
    <row r="1097">
      <c r="A1097" s="42"/>
      <c r="B1097" s="35"/>
      <c r="H1097" s="43"/>
      <c r="I1097" s="44"/>
      <c r="M1097" s="26"/>
    </row>
    <row r="1098">
      <c r="A1098" s="42"/>
      <c r="B1098" s="35"/>
      <c r="H1098" s="43"/>
      <c r="I1098" s="44"/>
      <c r="M1098" s="26"/>
    </row>
    <row r="1099">
      <c r="A1099" s="42"/>
      <c r="B1099" s="35"/>
      <c r="H1099" s="43"/>
      <c r="I1099" s="44"/>
      <c r="M1099" s="26"/>
    </row>
    <row r="1100">
      <c r="A1100" s="42"/>
      <c r="B1100" s="35"/>
      <c r="H1100" s="43"/>
      <c r="I1100" s="44"/>
      <c r="M1100" s="26"/>
    </row>
    <row r="1101">
      <c r="A1101" s="42"/>
      <c r="B1101" s="35"/>
      <c r="H1101" s="43"/>
      <c r="I1101" s="44"/>
      <c r="M1101" s="26"/>
    </row>
    <row r="1102">
      <c r="A1102" s="42"/>
      <c r="B1102" s="35"/>
      <c r="H1102" s="43"/>
      <c r="I1102" s="44"/>
      <c r="M1102" s="26"/>
    </row>
    <row r="1103">
      <c r="A1103" s="42"/>
      <c r="B1103" s="35"/>
      <c r="H1103" s="43"/>
      <c r="I1103" s="44"/>
      <c r="M1103" s="26"/>
    </row>
    <row r="1104">
      <c r="A1104" s="42"/>
      <c r="B1104" s="35"/>
      <c r="H1104" s="43"/>
      <c r="I1104" s="44"/>
      <c r="M1104" s="26"/>
    </row>
    <row r="1105">
      <c r="A1105" s="42"/>
      <c r="B1105" s="35"/>
      <c r="H1105" s="43"/>
      <c r="I1105" s="44"/>
      <c r="M1105" s="26"/>
    </row>
    <row r="1106">
      <c r="A1106" s="42"/>
      <c r="B1106" s="35"/>
      <c r="H1106" s="43"/>
      <c r="I1106" s="44"/>
      <c r="M1106" s="26"/>
    </row>
    <row r="1107">
      <c r="A1107" s="42"/>
      <c r="B1107" s="35"/>
      <c r="H1107" s="43"/>
      <c r="I1107" s="44"/>
      <c r="M1107" s="26"/>
    </row>
    <row r="1108">
      <c r="A1108" s="42"/>
      <c r="B1108" s="35"/>
      <c r="H1108" s="43"/>
      <c r="I1108" s="44"/>
      <c r="M1108" s="26"/>
    </row>
    <row r="1109">
      <c r="A1109" s="42"/>
      <c r="B1109" s="35"/>
      <c r="H1109" s="43"/>
      <c r="I1109" s="44"/>
      <c r="M1109" s="26"/>
    </row>
    <row r="1110">
      <c r="A1110" s="42"/>
      <c r="B1110" s="35"/>
      <c r="H1110" s="43"/>
      <c r="I1110" s="44"/>
      <c r="M1110" s="26"/>
    </row>
    <row r="1111">
      <c r="A1111" s="42"/>
      <c r="B1111" s="35"/>
      <c r="H1111" s="43"/>
      <c r="I1111" s="44"/>
      <c r="M1111" s="26"/>
    </row>
    <row r="1112">
      <c r="A1112" s="42"/>
      <c r="B1112" s="35"/>
      <c r="H1112" s="43"/>
      <c r="I1112" s="44"/>
      <c r="M1112" s="26"/>
    </row>
    <row r="1113">
      <c r="A1113" s="42"/>
      <c r="B1113" s="35"/>
      <c r="H1113" s="43"/>
      <c r="I1113" s="44"/>
      <c r="M1113" s="26"/>
    </row>
    <row r="1114">
      <c r="A1114" s="42"/>
      <c r="B1114" s="35"/>
      <c r="H1114" s="43"/>
      <c r="I1114" s="44"/>
      <c r="M1114" s="26"/>
    </row>
    <row r="1115">
      <c r="A1115" s="42"/>
      <c r="B1115" s="35"/>
      <c r="H1115" s="43"/>
      <c r="I1115" s="44"/>
      <c r="M1115" s="26"/>
    </row>
    <row r="1116">
      <c r="A1116" s="42"/>
      <c r="B1116" s="35"/>
      <c r="H1116" s="43"/>
      <c r="I1116" s="44"/>
      <c r="M1116" s="26"/>
    </row>
    <row r="1117">
      <c r="A1117" s="42"/>
      <c r="B1117" s="35"/>
      <c r="H1117" s="43"/>
      <c r="I1117" s="44"/>
      <c r="M1117" s="26"/>
    </row>
    <row r="1118">
      <c r="A1118" s="42"/>
      <c r="B1118" s="35"/>
      <c r="H1118" s="43"/>
      <c r="I1118" s="44"/>
      <c r="M1118" s="26"/>
    </row>
    <row r="1119">
      <c r="A1119" s="42"/>
      <c r="B1119" s="35"/>
      <c r="H1119" s="43"/>
      <c r="I1119" s="44"/>
      <c r="M1119" s="26"/>
    </row>
    <row r="1120">
      <c r="A1120" s="42"/>
      <c r="B1120" s="35"/>
      <c r="H1120" s="43"/>
      <c r="I1120" s="44"/>
      <c r="M1120" s="26"/>
    </row>
    <row r="1121">
      <c r="A1121" s="42"/>
      <c r="B1121" s="35"/>
      <c r="H1121" s="43"/>
      <c r="I1121" s="44"/>
      <c r="M1121" s="26"/>
    </row>
    <row r="1122">
      <c r="A1122" s="42"/>
      <c r="B1122" s="35"/>
      <c r="H1122" s="43"/>
      <c r="I1122" s="44"/>
      <c r="M1122" s="26"/>
    </row>
    <row r="1123">
      <c r="A1123" s="42"/>
      <c r="B1123" s="35"/>
      <c r="H1123" s="43"/>
      <c r="I1123" s="44"/>
      <c r="M1123" s="26"/>
    </row>
    <row r="1124">
      <c r="A1124" s="42"/>
      <c r="B1124" s="35"/>
      <c r="H1124" s="43"/>
      <c r="I1124" s="44"/>
      <c r="M1124" s="26"/>
    </row>
    <row r="1125">
      <c r="A1125" s="42"/>
      <c r="B1125" s="35"/>
      <c r="H1125" s="43"/>
      <c r="I1125" s="44"/>
      <c r="M1125" s="26"/>
    </row>
    <row r="1126">
      <c r="A1126" s="42"/>
      <c r="B1126" s="35"/>
      <c r="H1126" s="43"/>
      <c r="I1126" s="44"/>
      <c r="M1126" s="26"/>
    </row>
    <row r="1127">
      <c r="A1127" s="42"/>
      <c r="B1127" s="35"/>
      <c r="H1127" s="43"/>
      <c r="I1127" s="44"/>
      <c r="M1127" s="26"/>
    </row>
    <row r="1128">
      <c r="A1128" s="42"/>
      <c r="B1128" s="35"/>
      <c r="H1128" s="43"/>
      <c r="I1128" s="44"/>
      <c r="M1128" s="26"/>
    </row>
    <row r="1129">
      <c r="A1129" s="42"/>
      <c r="B1129" s="35"/>
      <c r="H1129" s="43"/>
      <c r="I1129" s="44"/>
      <c r="M1129" s="26"/>
    </row>
    <row r="1130">
      <c r="A1130" s="42"/>
      <c r="B1130" s="35"/>
      <c r="H1130" s="43"/>
      <c r="I1130" s="44"/>
      <c r="M1130" s="26"/>
    </row>
    <row r="1131">
      <c r="A1131" s="42"/>
      <c r="B1131" s="35"/>
      <c r="H1131" s="43"/>
      <c r="I1131" s="44"/>
      <c r="M1131" s="26"/>
    </row>
    <row r="1132">
      <c r="A1132" s="42"/>
      <c r="B1132" s="35"/>
      <c r="H1132" s="43"/>
      <c r="I1132" s="44"/>
      <c r="M1132" s="26"/>
    </row>
    <row r="1133">
      <c r="A1133" s="42"/>
      <c r="B1133" s="35"/>
      <c r="H1133" s="43"/>
      <c r="I1133" s="44"/>
      <c r="M1133" s="26"/>
    </row>
    <row r="1134">
      <c r="A1134" s="42"/>
      <c r="B1134" s="35"/>
      <c r="H1134" s="43"/>
      <c r="I1134" s="44"/>
      <c r="M1134" s="26"/>
    </row>
    <row r="1135">
      <c r="A1135" s="42"/>
      <c r="B1135" s="35"/>
      <c r="H1135" s="43"/>
      <c r="I1135" s="44"/>
      <c r="M1135" s="26"/>
    </row>
    <row r="1136">
      <c r="A1136" s="42"/>
      <c r="B1136" s="35"/>
      <c r="H1136" s="43"/>
      <c r="I1136" s="44"/>
      <c r="M1136" s="26"/>
    </row>
    <row r="1137">
      <c r="A1137" s="42"/>
      <c r="B1137" s="35"/>
      <c r="H1137" s="43"/>
      <c r="I1137" s="44"/>
      <c r="M1137" s="26"/>
    </row>
    <row r="1138">
      <c r="A1138" s="42"/>
      <c r="B1138" s="35"/>
      <c r="H1138" s="43"/>
      <c r="I1138" s="44"/>
      <c r="M1138" s="26"/>
    </row>
    <row r="1139">
      <c r="A1139" s="42"/>
      <c r="B1139" s="35"/>
      <c r="H1139" s="43"/>
      <c r="I1139" s="44"/>
      <c r="M1139" s="26"/>
    </row>
    <row r="1140">
      <c r="A1140" s="42"/>
      <c r="B1140" s="35"/>
      <c r="H1140" s="43"/>
      <c r="I1140" s="44"/>
      <c r="M1140" s="26"/>
    </row>
    <row r="1141">
      <c r="A1141" s="42"/>
      <c r="B1141" s="35"/>
      <c r="H1141" s="43"/>
      <c r="I1141" s="44"/>
      <c r="M1141" s="26"/>
    </row>
    <row r="1142">
      <c r="A1142" s="42"/>
      <c r="B1142" s="35"/>
      <c r="H1142" s="43"/>
      <c r="I1142" s="44"/>
      <c r="M1142" s="26"/>
    </row>
    <row r="1143">
      <c r="A1143" s="42"/>
      <c r="B1143" s="35"/>
      <c r="H1143" s="43"/>
      <c r="I1143" s="44"/>
      <c r="M1143" s="26"/>
    </row>
    <row r="1144">
      <c r="A1144" s="42"/>
      <c r="B1144" s="35"/>
      <c r="H1144" s="43"/>
      <c r="I1144" s="44"/>
      <c r="M1144" s="26"/>
    </row>
    <row r="1145">
      <c r="A1145" s="42"/>
      <c r="B1145" s="35"/>
      <c r="H1145" s="43"/>
      <c r="I1145" s="44"/>
      <c r="M1145" s="26"/>
    </row>
    <row r="1146">
      <c r="A1146" s="42"/>
      <c r="B1146" s="35"/>
      <c r="H1146" s="43"/>
      <c r="I1146" s="44"/>
      <c r="M1146" s="26"/>
    </row>
    <row r="1147">
      <c r="A1147" s="42"/>
      <c r="B1147" s="35"/>
      <c r="H1147" s="43"/>
      <c r="I1147" s="44"/>
      <c r="M1147" s="26"/>
    </row>
    <row r="1148">
      <c r="A1148" s="42"/>
      <c r="B1148" s="35"/>
      <c r="H1148" s="43"/>
      <c r="I1148" s="44"/>
      <c r="M1148" s="26"/>
    </row>
    <row r="1149">
      <c r="A1149" s="42"/>
      <c r="B1149" s="35"/>
      <c r="H1149" s="43"/>
      <c r="I1149" s="44"/>
      <c r="M1149" s="26"/>
    </row>
    <row r="1150">
      <c r="A1150" s="42"/>
      <c r="B1150" s="35"/>
      <c r="H1150" s="43"/>
      <c r="I1150" s="44"/>
      <c r="M1150" s="26"/>
    </row>
    <row r="1151">
      <c r="A1151" s="42"/>
      <c r="B1151" s="35"/>
      <c r="H1151" s="43"/>
      <c r="I1151" s="44"/>
      <c r="M1151" s="26"/>
    </row>
    <row r="1152">
      <c r="A1152" s="42"/>
      <c r="B1152" s="35"/>
      <c r="H1152" s="43"/>
      <c r="I1152" s="44"/>
      <c r="M1152" s="26"/>
    </row>
    <row r="1153">
      <c r="A1153" s="42"/>
      <c r="B1153" s="35"/>
      <c r="H1153" s="43"/>
      <c r="I1153" s="44"/>
      <c r="M1153" s="26"/>
    </row>
    <row r="1154">
      <c r="A1154" s="42"/>
      <c r="B1154" s="35"/>
      <c r="H1154" s="43"/>
      <c r="I1154" s="44"/>
      <c r="M1154" s="26"/>
    </row>
    <row r="1155">
      <c r="A1155" s="42"/>
      <c r="B1155" s="35"/>
      <c r="H1155" s="43"/>
      <c r="I1155" s="44"/>
      <c r="M1155" s="26"/>
    </row>
    <row r="1156">
      <c r="A1156" s="42"/>
      <c r="B1156" s="35"/>
      <c r="H1156" s="43"/>
      <c r="I1156" s="44"/>
      <c r="M1156" s="26"/>
    </row>
    <row r="1157">
      <c r="A1157" s="42"/>
      <c r="B1157" s="35"/>
      <c r="H1157" s="43"/>
      <c r="I1157" s="44"/>
      <c r="M1157" s="26"/>
    </row>
    <row r="1158">
      <c r="A1158" s="42"/>
      <c r="B1158" s="35"/>
      <c r="H1158" s="43"/>
      <c r="I1158" s="44"/>
      <c r="M1158" s="26"/>
    </row>
    <row r="1159">
      <c r="A1159" s="42"/>
      <c r="B1159" s="35"/>
      <c r="H1159" s="43"/>
      <c r="I1159" s="44"/>
      <c r="M1159" s="26"/>
    </row>
    <row r="1160">
      <c r="A1160" s="42"/>
      <c r="B1160" s="35"/>
      <c r="H1160" s="43"/>
      <c r="I1160" s="44"/>
      <c r="M1160" s="26"/>
    </row>
    <row r="1161">
      <c r="A1161" s="42"/>
      <c r="B1161" s="35"/>
      <c r="H1161" s="43"/>
      <c r="I1161" s="44"/>
      <c r="M1161" s="26"/>
    </row>
    <row r="1162">
      <c r="A1162" s="42"/>
      <c r="B1162" s="35"/>
      <c r="H1162" s="43"/>
      <c r="I1162" s="44"/>
      <c r="M1162" s="26"/>
    </row>
    <row r="1163">
      <c r="A1163" s="42"/>
      <c r="B1163" s="35"/>
      <c r="H1163" s="43"/>
      <c r="I1163" s="44"/>
      <c r="M1163" s="26"/>
    </row>
    <row r="1164">
      <c r="A1164" s="42"/>
      <c r="B1164" s="35"/>
      <c r="H1164" s="43"/>
      <c r="I1164" s="44"/>
      <c r="M1164" s="26"/>
    </row>
    <row r="1165">
      <c r="A1165" s="42"/>
      <c r="B1165" s="35"/>
      <c r="H1165" s="43"/>
      <c r="I1165" s="44"/>
      <c r="M1165" s="26"/>
    </row>
    <row r="1166">
      <c r="A1166" s="42"/>
      <c r="B1166" s="35"/>
      <c r="H1166" s="43"/>
      <c r="I1166" s="44"/>
      <c r="M1166" s="26"/>
    </row>
    <row r="1167">
      <c r="A1167" s="42"/>
      <c r="B1167" s="35"/>
      <c r="H1167" s="43"/>
      <c r="I1167" s="44"/>
      <c r="M1167" s="26"/>
    </row>
    <row r="1168">
      <c r="A1168" s="42"/>
      <c r="B1168" s="35"/>
      <c r="H1168" s="43"/>
      <c r="I1168" s="44"/>
      <c r="M1168" s="26"/>
    </row>
    <row r="1169">
      <c r="A1169" s="42"/>
      <c r="B1169" s="35"/>
      <c r="H1169" s="43"/>
      <c r="I1169" s="44"/>
      <c r="M1169" s="26"/>
    </row>
    <row r="1170">
      <c r="A1170" s="42"/>
      <c r="B1170" s="35"/>
      <c r="H1170" s="43"/>
      <c r="I1170" s="44"/>
      <c r="M1170" s="26"/>
    </row>
    <row r="1171">
      <c r="A1171" s="42"/>
      <c r="B1171" s="35"/>
      <c r="H1171" s="43"/>
      <c r="I1171" s="44"/>
      <c r="M1171" s="26"/>
    </row>
    <row r="1172">
      <c r="A1172" s="42"/>
      <c r="B1172" s="35"/>
      <c r="H1172" s="43"/>
      <c r="I1172" s="44"/>
      <c r="M1172" s="26"/>
    </row>
    <row r="1173">
      <c r="A1173" s="42"/>
      <c r="B1173" s="35"/>
      <c r="H1173" s="43"/>
      <c r="I1173" s="44"/>
      <c r="M1173" s="26"/>
    </row>
    <row r="1174">
      <c r="A1174" s="42"/>
      <c r="B1174" s="35"/>
      <c r="H1174" s="43"/>
      <c r="I1174" s="44"/>
      <c r="M1174" s="26"/>
    </row>
    <row r="1175">
      <c r="A1175" s="42"/>
      <c r="B1175" s="35"/>
      <c r="H1175" s="43"/>
      <c r="I1175" s="44"/>
      <c r="M1175" s="26"/>
    </row>
    <row r="1176">
      <c r="A1176" s="42"/>
      <c r="B1176" s="35"/>
      <c r="H1176" s="43"/>
      <c r="I1176" s="44"/>
      <c r="M1176" s="26"/>
    </row>
    <row r="1177">
      <c r="A1177" s="42"/>
      <c r="B1177" s="35"/>
      <c r="H1177" s="43"/>
      <c r="I1177" s="44"/>
      <c r="M1177" s="26"/>
    </row>
    <row r="1178">
      <c r="A1178" s="42"/>
      <c r="B1178" s="35"/>
      <c r="H1178" s="43"/>
      <c r="I1178" s="44"/>
      <c r="M1178" s="26"/>
    </row>
    <row r="1179">
      <c r="A1179" s="42"/>
      <c r="B1179" s="35"/>
      <c r="H1179" s="43"/>
      <c r="I1179" s="44"/>
      <c r="M1179" s="26"/>
    </row>
    <row r="1180">
      <c r="A1180" s="42"/>
      <c r="B1180" s="35"/>
      <c r="H1180" s="43"/>
      <c r="I1180" s="44"/>
      <c r="M1180" s="26"/>
    </row>
    <row r="1181">
      <c r="A1181" s="42"/>
      <c r="B1181" s="35"/>
      <c r="H1181" s="43"/>
      <c r="I1181" s="44"/>
      <c r="M1181" s="26"/>
    </row>
    <row r="1182">
      <c r="A1182" s="42"/>
      <c r="B1182" s="35"/>
      <c r="H1182" s="43"/>
      <c r="I1182" s="44"/>
      <c r="M1182" s="26"/>
    </row>
    <row r="1183">
      <c r="A1183" s="42"/>
      <c r="B1183" s="35"/>
      <c r="H1183" s="43"/>
      <c r="I1183" s="44"/>
      <c r="M1183" s="26"/>
    </row>
    <row r="1184">
      <c r="A1184" s="42"/>
      <c r="B1184" s="35"/>
      <c r="H1184" s="43"/>
      <c r="I1184" s="44"/>
      <c r="M1184" s="26"/>
    </row>
    <row r="1185">
      <c r="A1185" s="42"/>
      <c r="B1185" s="35"/>
      <c r="H1185" s="43"/>
      <c r="I1185" s="44"/>
      <c r="M1185" s="26"/>
    </row>
    <row r="1186">
      <c r="A1186" s="42"/>
      <c r="B1186" s="35"/>
      <c r="H1186" s="43"/>
      <c r="I1186" s="44"/>
      <c r="M1186" s="26"/>
    </row>
    <row r="1187">
      <c r="A1187" s="42"/>
      <c r="B1187" s="35"/>
      <c r="H1187" s="43"/>
      <c r="I1187" s="44"/>
      <c r="M1187" s="26"/>
    </row>
    <row r="1188">
      <c r="A1188" s="42"/>
      <c r="B1188" s="35"/>
      <c r="H1188" s="43"/>
      <c r="I1188" s="44"/>
      <c r="M1188" s="26"/>
    </row>
    <row r="1189">
      <c r="A1189" s="42"/>
      <c r="B1189" s="35"/>
      <c r="H1189" s="43"/>
      <c r="I1189" s="44"/>
      <c r="M1189" s="26"/>
    </row>
    <row r="1190">
      <c r="A1190" s="42"/>
      <c r="B1190" s="35"/>
      <c r="H1190" s="43"/>
      <c r="I1190" s="44"/>
      <c r="M1190" s="26"/>
    </row>
    <row r="1191">
      <c r="A1191" s="42"/>
      <c r="B1191" s="35"/>
      <c r="H1191" s="43"/>
      <c r="I1191" s="44"/>
      <c r="M1191" s="26"/>
    </row>
    <row r="1192">
      <c r="A1192" s="42"/>
      <c r="B1192" s="35"/>
      <c r="H1192" s="43"/>
      <c r="I1192" s="44"/>
      <c r="M1192" s="26"/>
    </row>
    <row r="1193">
      <c r="A1193" s="42"/>
      <c r="B1193" s="35"/>
      <c r="H1193" s="43"/>
      <c r="I1193" s="44"/>
      <c r="M1193" s="26"/>
    </row>
    <row r="1194">
      <c r="A1194" s="42"/>
      <c r="B1194" s="35"/>
      <c r="H1194" s="43"/>
      <c r="I1194" s="44"/>
      <c r="M1194" s="26"/>
    </row>
    <row r="1195">
      <c r="A1195" s="42"/>
      <c r="B1195" s="35"/>
      <c r="H1195" s="43"/>
      <c r="I1195" s="44"/>
      <c r="M1195" s="26"/>
    </row>
    <row r="1196">
      <c r="A1196" s="42"/>
      <c r="B1196" s="35"/>
      <c r="H1196" s="43"/>
      <c r="I1196" s="44"/>
      <c r="M1196" s="26"/>
    </row>
    <row r="1197">
      <c r="A1197" s="42"/>
      <c r="B1197" s="35"/>
      <c r="H1197" s="43"/>
      <c r="I1197" s="44"/>
      <c r="M1197" s="26"/>
    </row>
    <row r="1198">
      <c r="A1198" s="42"/>
      <c r="B1198" s="35"/>
      <c r="H1198" s="43"/>
      <c r="I1198" s="44"/>
      <c r="M1198" s="26"/>
    </row>
    <row r="1199">
      <c r="A1199" s="42"/>
      <c r="B1199" s="35"/>
      <c r="H1199" s="43"/>
      <c r="I1199" s="44"/>
      <c r="M1199" s="26"/>
    </row>
    <row r="1200">
      <c r="A1200" s="42"/>
      <c r="B1200" s="35"/>
      <c r="H1200" s="43"/>
      <c r="I1200" s="44"/>
      <c r="M1200" s="26"/>
    </row>
    <row r="1201">
      <c r="A1201" s="42"/>
      <c r="B1201" s="35"/>
      <c r="H1201" s="43"/>
      <c r="I1201" s="44"/>
      <c r="M1201" s="26"/>
    </row>
    <row r="1202">
      <c r="A1202" s="42"/>
      <c r="B1202" s="35"/>
      <c r="H1202" s="43"/>
      <c r="I1202" s="44"/>
      <c r="M1202" s="26"/>
    </row>
    <row r="1203">
      <c r="A1203" s="42"/>
      <c r="B1203" s="35"/>
      <c r="H1203" s="43"/>
      <c r="I1203" s="44"/>
      <c r="M1203" s="26"/>
    </row>
    <row r="1204">
      <c r="A1204" s="42"/>
      <c r="B1204" s="35"/>
      <c r="H1204" s="43"/>
      <c r="I1204" s="44"/>
      <c r="M1204" s="26"/>
    </row>
    <row r="1205">
      <c r="A1205" s="42"/>
      <c r="B1205" s="35"/>
      <c r="H1205" s="43"/>
      <c r="I1205" s="44"/>
      <c r="M1205" s="26"/>
    </row>
    <row r="1206">
      <c r="A1206" s="42"/>
      <c r="B1206" s="35"/>
      <c r="H1206" s="43"/>
      <c r="I1206" s="44"/>
      <c r="M1206" s="26"/>
    </row>
    <row r="1207">
      <c r="A1207" s="42"/>
      <c r="B1207" s="35"/>
      <c r="H1207" s="43"/>
      <c r="I1207" s="44"/>
      <c r="M1207" s="26"/>
    </row>
    <row r="1208">
      <c r="A1208" s="42"/>
      <c r="B1208" s="35"/>
      <c r="H1208" s="43"/>
      <c r="I1208" s="44"/>
      <c r="M1208" s="26"/>
    </row>
    <row r="1209">
      <c r="A1209" s="42"/>
      <c r="B1209" s="35"/>
      <c r="H1209" s="43"/>
      <c r="I1209" s="44"/>
      <c r="M1209" s="26"/>
    </row>
    <row r="1210">
      <c r="A1210" s="42"/>
      <c r="B1210" s="35"/>
      <c r="H1210" s="43"/>
      <c r="I1210" s="44"/>
      <c r="M1210" s="26"/>
    </row>
    <row r="1211">
      <c r="A1211" s="42"/>
      <c r="B1211" s="35"/>
      <c r="H1211" s="43"/>
      <c r="I1211" s="44"/>
      <c r="M1211" s="26"/>
    </row>
    <row r="1212">
      <c r="A1212" s="42"/>
      <c r="B1212" s="35"/>
      <c r="H1212" s="43"/>
      <c r="I1212" s="44"/>
      <c r="M1212" s="26"/>
    </row>
    <row r="1213">
      <c r="A1213" s="42"/>
      <c r="B1213" s="35"/>
      <c r="H1213" s="43"/>
      <c r="I1213" s="44"/>
      <c r="M1213" s="26"/>
    </row>
    <row r="1214">
      <c r="A1214" s="42"/>
      <c r="B1214" s="35"/>
      <c r="H1214" s="43"/>
      <c r="I1214" s="44"/>
      <c r="M1214" s="26"/>
    </row>
    <row r="1215">
      <c r="A1215" s="42"/>
      <c r="B1215" s="35"/>
      <c r="H1215" s="43"/>
      <c r="I1215" s="44"/>
      <c r="M1215" s="26"/>
    </row>
    <row r="1216">
      <c r="A1216" s="42"/>
      <c r="B1216" s="35"/>
      <c r="H1216" s="43"/>
      <c r="I1216" s="44"/>
      <c r="M1216" s="26"/>
    </row>
    <row r="1217">
      <c r="A1217" s="42"/>
      <c r="B1217" s="35"/>
      <c r="H1217" s="43"/>
      <c r="I1217" s="44"/>
      <c r="M1217" s="26"/>
    </row>
    <row r="1218">
      <c r="A1218" s="42"/>
      <c r="B1218" s="35"/>
      <c r="H1218" s="43"/>
      <c r="I1218" s="44"/>
      <c r="M1218" s="26"/>
    </row>
    <row r="1219">
      <c r="A1219" s="42"/>
      <c r="B1219" s="35"/>
      <c r="H1219" s="43"/>
      <c r="I1219" s="44"/>
      <c r="M1219" s="26"/>
    </row>
    <row r="1220">
      <c r="A1220" s="42"/>
      <c r="B1220" s="35"/>
      <c r="H1220" s="43"/>
      <c r="I1220" s="44"/>
      <c r="M1220" s="26"/>
    </row>
    <row r="1221">
      <c r="A1221" s="42"/>
      <c r="B1221" s="35"/>
      <c r="H1221" s="43"/>
      <c r="I1221" s="44"/>
      <c r="M1221" s="26"/>
    </row>
    <row r="1222">
      <c r="A1222" s="42"/>
      <c r="B1222" s="35"/>
      <c r="H1222" s="43"/>
      <c r="I1222" s="44"/>
      <c r="M1222" s="26"/>
    </row>
    <row r="1223">
      <c r="A1223" s="42"/>
      <c r="B1223" s="35"/>
      <c r="H1223" s="43"/>
      <c r="I1223" s="44"/>
      <c r="M1223" s="26"/>
    </row>
    <row r="1224">
      <c r="A1224" s="42"/>
      <c r="B1224" s="35"/>
      <c r="H1224" s="43"/>
      <c r="I1224" s="44"/>
      <c r="M1224" s="26"/>
    </row>
    <row r="1225">
      <c r="A1225" s="42"/>
      <c r="B1225" s="35"/>
      <c r="H1225" s="43"/>
      <c r="I1225" s="44"/>
      <c r="M1225" s="26"/>
    </row>
    <row r="1226">
      <c r="A1226" s="42"/>
      <c r="B1226" s="35"/>
      <c r="H1226" s="43"/>
      <c r="I1226" s="44"/>
      <c r="M1226" s="26"/>
    </row>
    <row r="1227">
      <c r="A1227" s="42"/>
      <c r="B1227" s="35"/>
      <c r="H1227" s="43"/>
      <c r="I1227" s="44"/>
      <c r="M1227" s="26"/>
    </row>
    <row r="1228">
      <c r="A1228" s="42"/>
      <c r="B1228" s="35"/>
      <c r="H1228" s="43"/>
      <c r="I1228" s="44"/>
      <c r="M1228" s="26"/>
    </row>
    <row r="1229">
      <c r="A1229" s="42"/>
      <c r="B1229" s="35"/>
      <c r="H1229" s="43"/>
      <c r="I1229" s="44"/>
      <c r="M1229" s="26"/>
    </row>
    <row r="1230">
      <c r="A1230" s="42"/>
      <c r="B1230" s="35"/>
      <c r="H1230" s="43"/>
      <c r="I1230" s="44"/>
      <c r="M1230" s="26"/>
    </row>
    <row r="1231">
      <c r="A1231" s="42"/>
      <c r="B1231" s="35"/>
      <c r="H1231" s="43"/>
      <c r="I1231" s="44"/>
      <c r="M1231" s="26"/>
    </row>
    <row r="1232">
      <c r="A1232" s="42"/>
      <c r="B1232" s="35"/>
      <c r="H1232" s="43"/>
      <c r="I1232" s="44"/>
      <c r="M1232" s="26"/>
    </row>
    <row r="1233">
      <c r="A1233" s="42"/>
      <c r="B1233" s="35"/>
      <c r="H1233" s="43"/>
      <c r="I1233" s="44"/>
      <c r="M1233" s="26"/>
    </row>
    <row r="1234">
      <c r="A1234" s="42"/>
      <c r="B1234" s="35"/>
      <c r="H1234" s="43"/>
      <c r="I1234" s="44"/>
      <c r="M1234" s="26"/>
    </row>
    <row r="1235">
      <c r="A1235" s="42"/>
      <c r="B1235" s="35"/>
      <c r="H1235" s="43"/>
      <c r="I1235" s="44"/>
      <c r="M1235" s="26"/>
    </row>
    <row r="1236">
      <c r="A1236" s="42"/>
      <c r="B1236" s="35"/>
      <c r="H1236" s="43"/>
      <c r="I1236" s="44"/>
      <c r="M1236" s="26"/>
    </row>
    <row r="1237">
      <c r="A1237" s="42"/>
      <c r="B1237" s="35"/>
      <c r="H1237" s="43"/>
      <c r="I1237" s="44"/>
      <c r="M1237" s="26"/>
    </row>
    <row r="1238">
      <c r="A1238" s="42"/>
      <c r="B1238" s="35"/>
      <c r="H1238" s="43"/>
      <c r="I1238" s="44"/>
      <c r="M1238" s="26"/>
    </row>
    <row r="1239">
      <c r="A1239" s="42"/>
      <c r="B1239" s="35"/>
      <c r="H1239" s="43"/>
      <c r="I1239" s="44"/>
      <c r="M1239" s="26"/>
    </row>
    <row r="1240">
      <c r="A1240" s="42"/>
      <c r="B1240" s="35"/>
      <c r="H1240" s="43"/>
      <c r="I1240" s="44"/>
      <c r="M1240" s="26"/>
    </row>
    <row r="1241">
      <c r="A1241" s="42"/>
      <c r="B1241" s="35"/>
      <c r="H1241" s="43"/>
      <c r="I1241" s="44"/>
      <c r="M1241" s="26"/>
    </row>
    <row r="1242">
      <c r="A1242" s="42"/>
      <c r="B1242" s="35"/>
      <c r="H1242" s="43"/>
      <c r="I1242" s="44"/>
      <c r="M1242" s="26"/>
    </row>
    <row r="1243">
      <c r="A1243" s="42"/>
      <c r="B1243" s="35"/>
      <c r="H1243" s="43"/>
      <c r="I1243" s="44"/>
      <c r="M1243" s="26"/>
    </row>
    <row r="1244">
      <c r="A1244" s="42"/>
      <c r="B1244" s="35"/>
      <c r="H1244" s="43"/>
      <c r="I1244" s="44"/>
      <c r="M1244" s="26"/>
    </row>
    <row r="1245">
      <c r="A1245" s="42"/>
      <c r="B1245" s="35"/>
      <c r="H1245" s="43"/>
      <c r="I1245" s="44"/>
      <c r="M1245" s="26"/>
    </row>
    <row r="1246">
      <c r="A1246" s="42"/>
      <c r="B1246" s="35"/>
      <c r="H1246" s="43"/>
      <c r="I1246" s="44"/>
      <c r="M1246" s="26"/>
    </row>
    <row r="1247">
      <c r="A1247" s="42"/>
      <c r="B1247" s="35"/>
      <c r="H1247" s="43"/>
      <c r="I1247" s="44"/>
      <c r="M1247" s="26"/>
    </row>
    <row r="1248">
      <c r="A1248" s="42"/>
      <c r="B1248" s="35"/>
      <c r="H1248" s="43"/>
      <c r="I1248" s="44"/>
      <c r="M1248" s="26"/>
    </row>
    <row r="1249">
      <c r="A1249" s="42"/>
      <c r="B1249" s="35"/>
      <c r="H1249" s="43"/>
      <c r="I1249" s="44"/>
      <c r="M1249" s="26"/>
    </row>
    <row r="1250">
      <c r="A1250" s="42"/>
      <c r="B1250" s="35"/>
      <c r="H1250" s="43"/>
      <c r="I1250" s="44"/>
      <c r="M1250" s="26"/>
    </row>
    <row r="1251">
      <c r="A1251" s="42"/>
      <c r="B1251" s="35"/>
      <c r="H1251" s="43"/>
      <c r="I1251" s="44"/>
      <c r="M1251" s="26"/>
    </row>
    <row r="1252">
      <c r="A1252" s="42"/>
      <c r="B1252" s="35"/>
      <c r="H1252" s="43"/>
      <c r="I1252" s="44"/>
      <c r="M1252" s="26"/>
    </row>
    <row r="1253">
      <c r="A1253" s="42"/>
      <c r="B1253" s="35"/>
      <c r="H1253" s="43"/>
      <c r="I1253" s="44"/>
      <c r="M1253" s="26"/>
    </row>
    <row r="1254">
      <c r="A1254" s="42"/>
      <c r="B1254" s="35"/>
      <c r="H1254" s="43"/>
      <c r="I1254" s="44"/>
      <c r="M1254" s="26"/>
    </row>
    <row r="1255">
      <c r="A1255" s="42"/>
      <c r="B1255" s="35"/>
      <c r="H1255" s="43"/>
      <c r="I1255" s="44"/>
      <c r="M1255" s="26"/>
    </row>
    <row r="1256">
      <c r="A1256" s="42"/>
      <c r="B1256" s="35"/>
      <c r="H1256" s="43"/>
      <c r="I1256" s="44"/>
      <c r="M1256" s="26"/>
    </row>
    <row r="1257">
      <c r="A1257" s="42"/>
      <c r="B1257" s="35"/>
      <c r="H1257" s="43"/>
      <c r="I1257" s="44"/>
      <c r="M1257" s="26"/>
    </row>
    <row r="1258">
      <c r="A1258" s="42"/>
      <c r="B1258" s="35"/>
      <c r="H1258" s="43"/>
      <c r="I1258" s="44"/>
      <c r="M1258" s="26"/>
    </row>
    <row r="1259">
      <c r="A1259" s="42"/>
      <c r="B1259" s="35"/>
      <c r="H1259" s="43"/>
      <c r="I1259" s="44"/>
      <c r="M1259" s="26"/>
    </row>
    <row r="1260">
      <c r="A1260" s="42"/>
      <c r="B1260" s="35"/>
      <c r="H1260" s="43"/>
      <c r="I1260" s="44"/>
      <c r="M1260" s="26"/>
    </row>
    <row r="1261">
      <c r="A1261" s="42"/>
      <c r="B1261" s="35"/>
      <c r="H1261" s="43"/>
      <c r="I1261" s="44"/>
      <c r="M1261" s="26"/>
    </row>
    <row r="1262">
      <c r="A1262" s="42"/>
      <c r="B1262" s="35"/>
      <c r="H1262" s="43"/>
      <c r="I1262" s="44"/>
      <c r="M1262" s="26"/>
    </row>
    <row r="1263">
      <c r="A1263" s="42"/>
      <c r="B1263" s="35"/>
      <c r="H1263" s="43"/>
      <c r="I1263" s="44"/>
      <c r="M1263" s="26"/>
    </row>
    <row r="1264">
      <c r="A1264" s="42"/>
      <c r="B1264" s="35"/>
      <c r="H1264" s="43"/>
      <c r="I1264" s="44"/>
      <c r="M1264" s="26"/>
    </row>
    <row r="1265">
      <c r="A1265" s="42"/>
      <c r="B1265" s="35"/>
      <c r="H1265" s="43"/>
      <c r="I1265" s="44"/>
      <c r="M1265" s="26"/>
    </row>
    <row r="1266">
      <c r="A1266" s="42"/>
      <c r="B1266" s="35"/>
      <c r="H1266" s="43"/>
      <c r="I1266" s="44"/>
      <c r="M1266" s="26"/>
    </row>
    <row r="1267">
      <c r="A1267" s="42"/>
      <c r="B1267" s="35"/>
      <c r="H1267" s="43"/>
      <c r="I1267" s="44"/>
      <c r="M1267" s="26"/>
    </row>
    <row r="1268">
      <c r="A1268" s="42"/>
      <c r="B1268" s="35"/>
      <c r="H1268" s="43"/>
      <c r="I1268" s="44"/>
      <c r="M1268" s="26"/>
    </row>
    <row r="1269">
      <c r="A1269" s="42"/>
      <c r="B1269" s="35"/>
      <c r="H1269" s="43"/>
      <c r="I1269" s="44"/>
      <c r="M1269" s="26"/>
    </row>
    <row r="1270">
      <c r="A1270" s="42"/>
      <c r="B1270" s="35"/>
      <c r="H1270" s="43"/>
      <c r="I1270" s="44"/>
      <c r="M1270" s="26"/>
    </row>
    <row r="1271">
      <c r="A1271" s="42"/>
      <c r="B1271" s="35"/>
      <c r="H1271" s="43"/>
      <c r="I1271" s="44"/>
      <c r="M1271" s="26"/>
    </row>
    <row r="1272">
      <c r="A1272" s="42"/>
      <c r="B1272" s="35"/>
      <c r="H1272" s="43"/>
      <c r="I1272" s="44"/>
      <c r="M1272" s="26"/>
    </row>
    <row r="1273">
      <c r="A1273" s="42"/>
      <c r="B1273" s="35"/>
      <c r="H1273" s="43"/>
      <c r="I1273" s="44"/>
      <c r="M1273" s="26"/>
    </row>
    <row r="1274">
      <c r="A1274" s="42"/>
      <c r="B1274" s="35"/>
      <c r="H1274" s="43"/>
      <c r="I1274" s="44"/>
      <c r="M1274" s="26"/>
    </row>
    <row r="1275">
      <c r="A1275" s="42"/>
      <c r="B1275" s="35"/>
      <c r="H1275" s="43"/>
      <c r="I1275" s="44"/>
      <c r="M1275" s="26"/>
    </row>
    <row r="1276">
      <c r="A1276" s="42"/>
      <c r="B1276" s="35"/>
      <c r="H1276" s="43"/>
      <c r="I1276" s="44"/>
      <c r="M1276" s="26"/>
    </row>
    <row r="1277">
      <c r="A1277" s="42"/>
      <c r="B1277" s="35"/>
      <c r="H1277" s="43"/>
      <c r="I1277" s="44"/>
      <c r="M1277" s="26"/>
    </row>
    <row r="1278">
      <c r="A1278" s="42"/>
      <c r="B1278" s="35"/>
      <c r="H1278" s="43"/>
      <c r="I1278" s="44"/>
      <c r="M1278" s="26"/>
    </row>
    <row r="1279">
      <c r="A1279" s="42"/>
      <c r="B1279" s="35"/>
      <c r="H1279" s="43"/>
      <c r="I1279" s="44"/>
      <c r="M1279" s="26"/>
    </row>
    <row r="1280">
      <c r="A1280" s="42"/>
      <c r="B1280" s="35"/>
      <c r="H1280" s="43"/>
      <c r="I1280" s="44"/>
      <c r="M1280" s="26"/>
    </row>
    <row r="1281">
      <c r="A1281" s="42"/>
      <c r="B1281" s="35"/>
      <c r="H1281" s="43"/>
      <c r="I1281" s="44"/>
      <c r="M1281" s="26"/>
    </row>
    <row r="1282">
      <c r="A1282" s="42"/>
      <c r="B1282" s="35"/>
      <c r="H1282" s="43"/>
      <c r="I1282" s="44"/>
      <c r="M1282" s="26"/>
    </row>
    <row r="1283">
      <c r="A1283" s="42"/>
      <c r="B1283" s="35"/>
      <c r="H1283" s="43"/>
      <c r="I1283" s="44"/>
      <c r="M1283" s="26"/>
    </row>
    <row r="1284">
      <c r="A1284" s="42"/>
      <c r="B1284" s="35"/>
      <c r="H1284" s="43"/>
      <c r="I1284" s="44"/>
      <c r="M1284" s="26"/>
    </row>
    <row r="1285">
      <c r="A1285" s="42"/>
      <c r="B1285" s="35"/>
      <c r="H1285" s="43"/>
      <c r="I1285" s="44"/>
      <c r="M1285" s="26"/>
    </row>
    <row r="1286">
      <c r="A1286" s="42"/>
      <c r="B1286" s="35"/>
      <c r="H1286" s="43"/>
      <c r="I1286" s="44"/>
      <c r="M1286" s="26"/>
    </row>
    <row r="1287">
      <c r="A1287" s="42"/>
      <c r="B1287" s="35"/>
      <c r="H1287" s="43"/>
      <c r="I1287" s="44"/>
      <c r="M1287" s="26"/>
    </row>
    <row r="1288">
      <c r="A1288" s="42"/>
      <c r="B1288" s="35"/>
      <c r="H1288" s="43"/>
      <c r="I1288" s="44"/>
      <c r="M1288" s="26"/>
    </row>
    <row r="1289">
      <c r="A1289" s="42"/>
      <c r="B1289" s="35"/>
      <c r="H1289" s="43"/>
      <c r="I1289" s="44"/>
      <c r="M1289" s="26"/>
    </row>
    <row r="1290">
      <c r="A1290" s="42"/>
      <c r="B1290" s="35"/>
      <c r="H1290" s="43"/>
      <c r="I1290" s="44"/>
      <c r="M1290" s="26"/>
    </row>
    <row r="1291">
      <c r="A1291" s="42"/>
      <c r="B1291" s="35"/>
      <c r="H1291" s="43"/>
      <c r="I1291" s="44"/>
      <c r="M1291" s="26"/>
    </row>
    <row r="1292">
      <c r="A1292" s="42"/>
      <c r="B1292" s="35"/>
      <c r="H1292" s="43"/>
      <c r="I1292" s="44"/>
      <c r="M1292" s="26"/>
    </row>
    <row r="1293">
      <c r="A1293" s="42"/>
      <c r="B1293" s="35"/>
      <c r="H1293" s="43"/>
      <c r="I1293" s="44"/>
      <c r="M1293" s="26"/>
    </row>
    <row r="1294">
      <c r="A1294" s="42"/>
      <c r="B1294" s="35"/>
      <c r="H1294" s="43"/>
      <c r="I1294" s="44"/>
      <c r="M1294" s="26"/>
    </row>
    <row r="1295">
      <c r="A1295" s="42"/>
      <c r="B1295" s="35"/>
      <c r="H1295" s="43"/>
      <c r="I1295" s="44"/>
      <c r="M1295" s="26"/>
    </row>
    <row r="1296">
      <c r="A1296" s="42"/>
      <c r="B1296" s="35"/>
      <c r="H1296" s="43"/>
      <c r="I1296" s="44"/>
      <c r="M1296" s="26"/>
    </row>
    <row r="1297">
      <c r="A1297" s="42"/>
      <c r="B1297" s="35"/>
      <c r="H1297" s="43"/>
      <c r="I1297" s="44"/>
      <c r="M1297" s="26"/>
    </row>
    <row r="1298">
      <c r="A1298" s="42"/>
      <c r="B1298" s="35"/>
      <c r="H1298" s="43"/>
      <c r="I1298" s="44"/>
      <c r="M1298" s="26"/>
    </row>
    <row r="1299">
      <c r="A1299" s="42"/>
      <c r="B1299" s="35"/>
      <c r="H1299" s="43"/>
      <c r="I1299" s="44"/>
      <c r="M1299" s="26"/>
    </row>
    <row r="1300">
      <c r="A1300" s="42"/>
      <c r="B1300" s="35"/>
      <c r="H1300" s="43"/>
      <c r="I1300" s="44"/>
      <c r="M1300" s="26"/>
    </row>
    <row r="1301">
      <c r="A1301" s="42"/>
      <c r="B1301" s="35"/>
      <c r="H1301" s="43"/>
      <c r="I1301" s="44"/>
      <c r="M1301" s="26"/>
    </row>
    <row r="1302">
      <c r="A1302" s="42"/>
      <c r="B1302" s="35"/>
      <c r="H1302" s="43"/>
      <c r="I1302" s="44"/>
      <c r="M1302" s="26"/>
    </row>
    <row r="1303">
      <c r="A1303" s="42"/>
      <c r="B1303" s="35"/>
      <c r="H1303" s="43"/>
      <c r="I1303" s="44"/>
      <c r="M1303" s="26"/>
    </row>
    <row r="1304">
      <c r="A1304" s="42"/>
      <c r="B1304" s="35"/>
      <c r="H1304" s="43"/>
      <c r="I1304" s="44"/>
      <c r="M1304" s="26"/>
    </row>
    <row r="1305">
      <c r="A1305" s="42"/>
      <c r="B1305" s="35"/>
      <c r="H1305" s="43"/>
      <c r="I1305" s="44"/>
      <c r="M1305" s="26"/>
    </row>
    <row r="1306">
      <c r="A1306" s="42"/>
      <c r="B1306" s="35"/>
      <c r="H1306" s="43"/>
      <c r="I1306" s="44"/>
      <c r="M1306" s="26"/>
    </row>
    <row r="1307">
      <c r="A1307" s="42"/>
      <c r="B1307" s="35"/>
      <c r="H1307" s="43"/>
      <c r="I1307" s="44"/>
      <c r="M1307" s="26"/>
    </row>
    <row r="1308">
      <c r="A1308" s="42"/>
      <c r="B1308" s="35"/>
      <c r="H1308" s="43"/>
      <c r="I1308" s="44"/>
      <c r="M1308" s="26"/>
    </row>
    <row r="1309">
      <c r="A1309" s="42"/>
      <c r="B1309" s="35"/>
      <c r="H1309" s="43"/>
      <c r="I1309" s="44"/>
      <c r="M1309" s="26"/>
    </row>
    <row r="1310">
      <c r="A1310" s="42"/>
      <c r="B1310" s="35"/>
      <c r="H1310" s="43"/>
      <c r="I1310" s="44"/>
      <c r="M1310" s="26"/>
    </row>
    <row r="1311">
      <c r="A1311" s="42"/>
      <c r="B1311" s="35"/>
      <c r="H1311" s="43"/>
      <c r="I1311" s="44"/>
      <c r="M1311" s="26"/>
    </row>
    <row r="1312">
      <c r="A1312" s="42"/>
      <c r="B1312" s="35"/>
      <c r="H1312" s="43"/>
      <c r="I1312" s="44"/>
      <c r="M1312" s="26"/>
    </row>
    <row r="1313">
      <c r="A1313" s="42"/>
      <c r="B1313" s="35"/>
      <c r="H1313" s="43"/>
      <c r="I1313" s="44"/>
      <c r="M1313" s="26"/>
    </row>
    <row r="1314">
      <c r="A1314" s="42"/>
      <c r="B1314" s="35"/>
      <c r="H1314" s="43"/>
      <c r="I1314" s="44"/>
      <c r="M1314" s="26"/>
    </row>
    <row r="1315">
      <c r="A1315" s="42"/>
      <c r="B1315" s="35"/>
      <c r="H1315" s="43"/>
      <c r="I1315" s="44"/>
      <c r="M1315" s="26"/>
    </row>
    <row r="1316">
      <c r="A1316" s="42"/>
      <c r="B1316" s="35"/>
      <c r="H1316" s="43"/>
      <c r="I1316" s="44"/>
      <c r="M1316" s="26"/>
    </row>
    <row r="1317">
      <c r="A1317" s="42"/>
      <c r="B1317" s="35"/>
      <c r="H1317" s="43"/>
      <c r="I1317" s="44"/>
      <c r="M1317" s="26"/>
    </row>
    <row r="1318">
      <c r="A1318" s="42"/>
      <c r="B1318" s="35"/>
      <c r="H1318" s="43"/>
      <c r="I1318" s="44"/>
      <c r="M1318" s="26"/>
    </row>
    <row r="1319">
      <c r="A1319" s="42"/>
      <c r="B1319" s="35"/>
      <c r="H1319" s="43"/>
      <c r="I1319" s="44"/>
      <c r="M1319" s="26"/>
    </row>
    <row r="1320">
      <c r="A1320" s="42"/>
      <c r="B1320" s="35"/>
      <c r="H1320" s="43"/>
      <c r="I1320" s="44"/>
      <c r="M1320" s="26"/>
    </row>
    <row r="1321">
      <c r="A1321" s="42"/>
      <c r="B1321" s="35"/>
      <c r="H1321" s="43"/>
      <c r="I1321" s="44"/>
      <c r="M1321" s="26"/>
    </row>
    <row r="1322">
      <c r="A1322" s="42"/>
      <c r="B1322" s="35"/>
      <c r="H1322" s="43"/>
      <c r="I1322" s="44"/>
      <c r="M1322" s="26"/>
    </row>
    <row r="1323">
      <c r="A1323" s="42"/>
      <c r="B1323" s="35"/>
      <c r="H1323" s="43"/>
      <c r="I1323" s="44"/>
      <c r="M1323" s="26"/>
    </row>
    <row r="1324">
      <c r="A1324" s="42"/>
      <c r="B1324" s="35"/>
      <c r="H1324" s="43"/>
      <c r="I1324" s="44"/>
      <c r="M1324" s="26"/>
    </row>
    <row r="1325">
      <c r="A1325" s="42"/>
      <c r="B1325" s="35"/>
      <c r="H1325" s="43"/>
      <c r="I1325" s="44"/>
      <c r="M1325" s="26"/>
    </row>
    <row r="1326">
      <c r="A1326" s="42"/>
      <c r="B1326" s="35"/>
      <c r="H1326" s="43"/>
      <c r="I1326" s="44"/>
      <c r="M1326" s="26"/>
    </row>
    <row r="1327">
      <c r="A1327" s="42"/>
      <c r="B1327" s="35"/>
      <c r="H1327" s="43"/>
      <c r="I1327" s="44"/>
      <c r="M1327" s="26"/>
    </row>
    <row r="1328">
      <c r="A1328" s="42"/>
      <c r="B1328" s="35"/>
      <c r="H1328" s="43"/>
      <c r="I1328" s="44"/>
      <c r="M1328" s="26"/>
    </row>
    <row r="1329">
      <c r="A1329" s="42"/>
      <c r="B1329" s="35"/>
      <c r="H1329" s="43"/>
      <c r="I1329" s="44"/>
      <c r="M1329" s="26"/>
    </row>
    <row r="1330">
      <c r="A1330" s="42"/>
      <c r="B1330" s="35"/>
      <c r="H1330" s="43"/>
      <c r="I1330" s="44"/>
      <c r="M1330" s="26"/>
    </row>
    <row r="1331">
      <c r="A1331" s="42"/>
      <c r="B1331" s="35"/>
      <c r="H1331" s="43"/>
      <c r="I1331" s="44"/>
      <c r="M1331" s="26"/>
    </row>
    <row r="1332">
      <c r="A1332" s="42"/>
      <c r="B1332" s="35"/>
      <c r="H1332" s="43"/>
      <c r="I1332" s="44"/>
      <c r="M1332" s="26"/>
    </row>
    <row r="1333">
      <c r="A1333" s="42"/>
      <c r="B1333" s="35"/>
      <c r="H1333" s="43"/>
      <c r="I1333" s="44"/>
      <c r="M1333" s="26"/>
    </row>
    <row r="1334">
      <c r="A1334" s="42"/>
      <c r="B1334" s="35"/>
      <c r="H1334" s="43"/>
      <c r="I1334" s="44"/>
      <c r="M1334" s="26"/>
    </row>
    <row r="1335">
      <c r="A1335" s="42"/>
      <c r="B1335" s="35"/>
      <c r="H1335" s="43"/>
      <c r="I1335" s="44"/>
      <c r="M1335" s="26"/>
    </row>
    <row r="1336">
      <c r="A1336" s="42"/>
      <c r="B1336" s="35"/>
      <c r="H1336" s="43"/>
      <c r="I1336" s="44"/>
      <c r="M1336" s="26"/>
    </row>
    <row r="1337">
      <c r="A1337" s="42"/>
      <c r="B1337" s="35"/>
      <c r="H1337" s="43"/>
      <c r="I1337" s="44"/>
      <c r="M1337" s="26"/>
    </row>
    <row r="1338">
      <c r="A1338" s="42"/>
      <c r="B1338" s="35"/>
      <c r="H1338" s="43"/>
      <c r="I1338" s="44"/>
      <c r="M1338" s="26"/>
    </row>
    <row r="1339">
      <c r="A1339" s="42"/>
      <c r="B1339" s="35"/>
      <c r="H1339" s="43"/>
      <c r="I1339" s="44"/>
      <c r="M1339" s="26"/>
    </row>
    <row r="1340">
      <c r="A1340" s="42"/>
      <c r="B1340" s="35"/>
      <c r="H1340" s="43"/>
      <c r="I1340" s="44"/>
      <c r="M1340" s="26"/>
    </row>
    <row r="1341">
      <c r="A1341" s="42"/>
      <c r="B1341" s="35"/>
      <c r="H1341" s="43"/>
      <c r="I1341" s="44"/>
      <c r="M1341" s="26"/>
    </row>
    <row r="1342">
      <c r="A1342" s="42"/>
      <c r="B1342" s="35"/>
      <c r="H1342" s="43"/>
      <c r="I1342" s="44"/>
      <c r="M1342" s="26"/>
    </row>
    <row r="1343">
      <c r="A1343" s="42"/>
      <c r="B1343" s="35"/>
      <c r="H1343" s="43"/>
      <c r="I1343" s="44"/>
      <c r="M1343" s="26"/>
    </row>
    <row r="1344">
      <c r="A1344" s="42"/>
      <c r="B1344" s="35"/>
      <c r="H1344" s="43"/>
      <c r="I1344" s="44"/>
      <c r="M1344" s="26"/>
    </row>
    <row r="1345">
      <c r="A1345" s="42"/>
      <c r="B1345" s="35"/>
      <c r="H1345" s="43"/>
      <c r="I1345" s="44"/>
      <c r="M1345" s="26"/>
    </row>
    <row r="1346">
      <c r="A1346" s="42"/>
      <c r="B1346" s="35"/>
      <c r="H1346" s="43"/>
      <c r="I1346" s="44"/>
      <c r="M1346" s="26"/>
    </row>
    <row r="1347">
      <c r="A1347" s="42"/>
      <c r="B1347" s="35"/>
      <c r="H1347" s="43"/>
      <c r="I1347" s="44"/>
      <c r="M1347" s="26"/>
    </row>
    <row r="1348">
      <c r="A1348" s="42"/>
      <c r="B1348" s="35"/>
      <c r="H1348" s="43"/>
      <c r="I1348" s="44"/>
      <c r="M1348" s="26"/>
    </row>
    <row r="1349">
      <c r="A1349" s="42"/>
      <c r="B1349" s="35"/>
      <c r="H1349" s="43"/>
      <c r="I1349" s="44"/>
      <c r="M1349" s="26"/>
    </row>
    <row r="1350">
      <c r="A1350" s="42"/>
      <c r="B1350" s="35"/>
      <c r="H1350" s="43"/>
      <c r="I1350" s="44"/>
      <c r="M1350" s="26"/>
    </row>
    <row r="1351">
      <c r="A1351" s="42"/>
      <c r="B1351" s="35"/>
      <c r="H1351" s="43"/>
      <c r="I1351" s="44"/>
      <c r="M1351" s="26"/>
    </row>
    <row r="1352">
      <c r="A1352" s="42"/>
      <c r="B1352" s="35"/>
      <c r="H1352" s="43"/>
      <c r="I1352" s="44"/>
      <c r="M1352" s="26"/>
    </row>
    <row r="1353">
      <c r="A1353" s="42"/>
      <c r="B1353" s="35"/>
      <c r="H1353" s="43"/>
      <c r="I1353" s="44"/>
      <c r="M1353" s="26"/>
    </row>
    <row r="1354">
      <c r="A1354" s="42"/>
      <c r="B1354" s="35"/>
      <c r="H1354" s="43"/>
      <c r="I1354" s="44"/>
      <c r="M1354" s="26"/>
    </row>
    <row r="1355">
      <c r="A1355" s="42"/>
      <c r="B1355" s="35"/>
      <c r="H1355" s="43"/>
      <c r="I1355" s="44"/>
      <c r="M1355" s="26"/>
    </row>
    <row r="1356">
      <c r="A1356" s="42"/>
      <c r="B1356" s="35"/>
      <c r="H1356" s="43"/>
      <c r="I1356" s="44"/>
      <c r="M1356" s="26"/>
    </row>
    <row r="1357">
      <c r="A1357" s="42"/>
      <c r="B1357" s="35"/>
      <c r="H1357" s="43"/>
      <c r="I1357" s="44"/>
      <c r="M1357" s="26"/>
    </row>
    <row r="1358">
      <c r="A1358" s="42"/>
      <c r="B1358" s="35"/>
      <c r="H1358" s="43"/>
      <c r="I1358" s="44"/>
      <c r="M1358" s="26"/>
    </row>
    <row r="1359">
      <c r="A1359" s="42"/>
      <c r="B1359" s="35"/>
      <c r="H1359" s="43"/>
      <c r="I1359" s="44"/>
      <c r="M1359" s="26"/>
    </row>
    <row r="1360">
      <c r="A1360" s="42"/>
      <c r="B1360" s="35"/>
      <c r="H1360" s="43"/>
      <c r="I1360" s="44"/>
      <c r="M1360" s="26"/>
    </row>
    <row r="1361">
      <c r="A1361" s="42"/>
      <c r="B1361" s="35"/>
      <c r="H1361" s="43"/>
      <c r="I1361" s="44"/>
      <c r="M1361" s="26"/>
    </row>
    <row r="1362">
      <c r="A1362" s="42"/>
      <c r="B1362" s="35"/>
      <c r="H1362" s="43"/>
      <c r="I1362" s="44"/>
      <c r="M1362" s="26"/>
    </row>
    <row r="1363">
      <c r="A1363" s="42"/>
      <c r="B1363" s="35"/>
      <c r="H1363" s="43"/>
      <c r="I1363" s="44"/>
      <c r="M1363" s="26"/>
    </row>
    <row r="1364">
      <c r="A1364" s="42"/>
      <c r="B1364" s="35"/>
      <c r="H1364" s="43"/>
      <c r="I1364" s="44"/>
      <c r="M1364" s="26"/>
    </row>
    <row r="1365">
      <c r="A1365" s="42"/>
      <c r="B1365" s="35"/>
      <c r="H1365" s="43"/>
      <c r="I1365" s="44"/>
      <c r="M1365" s="26"/>
    </row>
    <row r="1366">
      <c r="A1366" s="42"/>
      <c r="B1366" s="35"/>
      <c r="H1366" s="43"/>
      <c r="I1366" s="44"/>
      <c r="M1366" s="26"/>
    </row>
    <row r="1367">
      <c r="A1367" s="42"/>
      <c r="B1367" s="35"/>
      <c r="H1367" s="43"/>
      <c r="I1367" s="44"/>
      <c r="M1367" s="26"/>
    </row>
    <row r="1368">
      <c r="A1368" s="42"/>
      <c r="B1368" s="35"/>
      <c r="H1368" s="43"/>
      <c r="I1368" s="44"/>
      <c r="M1368" s="26"/>
    </row>
    <row r="1369">
      <c r="A1369" s="42"/>
      <c r="B1369" s="35"/>
      <c r="H1369" s="43"/>
      <c r="I1369" s="44"/>
      <c r="M1369" s="26"/>
    </row>
    <row r="1370">
      <c r="A1370" s="42"/>
      <c r="B1370" s="35"/>
      <c r="H1370" s="43"/>
      <c r="I1370" s="44"/>
      <c r="M1370" s="26"/>
    </row>
    <row r="1371">
      <c r="A1371" s="42"/>
      <c r="B1371" s="35"/>
      <c r="H1371" s="43"/>
      <c r="I1371" s="44"/>
      <c r="M1371" s="26"/>
    </row>
    <row r="1372">
      <c r="A1372" s="42"/>
      <c r="B1372" s="35"/>
      <c r="H1372" s="43"/>
      <c r="I1372" s="44"/>
      <c r="M1372" s="26"/>
    </row>
    <row r="1373">
      <c r="A1373" s="42"/>
      <c r="B1373" s="35"/>
      <c r="H1373" s="43"/>
      <c r="I1373" s="44"/>
      <c r="M1373" s="26"/>
    </row>
    <row r="1374">
      <c r="A1374" s="42"/>
      <c r="B1374" s="35"/>
      <c r="H1374" s="43"/>
      <c r="I1374" s="44"/>
      <c r="M1374" s="26"/>
    </row>
    <row r="1375">
      <c r="A1375" s="42"/>
      <c r="B1375" s="35"/>
      <c r="H1375" s="43"/>
      <c r="I1375" s="44"/>
      <c r="M1375" s="26"/>
    </row>
    <row r="1376">
      <c r="A1376" s="42"/>
      <c r="B1376" s="35"/>
      <c r="H1376" s="43"/>
      <c r="I1376" s="44"/>
      <c r="M1376" s="26"/>
    </row>
    <row r="1377">
      <c r="A1377" s="42"/>
      <c r="B1377" s="35"/>
      <c r="H1377" s="43"/>
      <c r="I1377" s="44"/>
      <c r="M1377" s="26"/>
    </row>
    <row r="1378">
      <c r="A1378" s="42"/>
      <c r="B1378" s="35"/>
      <c r="H1378" s="43"/>
      <c r="I1378" s="44"/>
      <c r="M1378" s="26"/>
    </row>
    <row r="1379">
      <c r="A1379" s="42"/>
      <c r="B1379" s="35"/>
      <c r="H1379" s="43"/>
      <c r="I1379" s="44"/>
      <c r="M1379" s="26"/>
    </row>
    <row r="1380">
      <c r="A1380" s="42"/>
      <c r="B1380" s="35"/>
      <c r="H1380" s="43"/>
      <c r="I1380" s="44"/>
      <c r="M1380" s="26"/>
    </row>
    <row r="1381">
      <c r="A1381" s="42"/>
      <c r="B1381" s="35"/>
      <c r="H1381" s="43"/>
      <c r="I1381" s="44"/>
      <c r="M1381" s="26"/>
    </row>
    <row r="1382">
      <c r="A1382" s="42"/>
      <c r="B1382" s="35"/>
      <c r="H1382" s="43"/>
      <c r="I1382" s="44"/>
      <c r="M1382" s="26"/>
    </row>
    <row r="1383">
      <c r="A1383" s="42"/>
      <c r="B1383" s="35"/>
      <c r="H1383" s="43"/>
      <c r="I1383" s="44"/>
      <c r="M1383" s="26"/>
    </row>
    <row r="1384">
      <c r="A1384" s="42"/>
      <c r="B1384" s="35"/>
      <c r="H1384" s="43"/>
      <c r="I1384" s="44"/>
      <c r="M1384" s="26"/>
    </row>
    <row r="1385">
      <c r="A1385" s="42"/>
      <c r="B1385" s="35"/>
      <c r="H1385" s="43"/>
      <c r="I1385" s="44"/>
      <c r="M1385" s="26"/>
    </row>
    <row r="1386">
      <c r="A1386" s="42"/>
      <c r="B1386" s="35"/>
      <c r="H1386" s="43"/>
      <c r="I1386" s="44"/>
      <c r="M1386" s="26"/>
    </row>
    <row r="1387">
      <c r="A1387" s="42"/>
      <c r="B1387" s="35"/>
      <c r="H1387" s="43"/>
      <c r="I1387" s="44"/>
      <c r="M1387" s="26"/>
    </row>
    <row r="1388">
      <c r="A1388" s="42"/>
      <c r="B1388" s="35"/>
      <c r="H1388" s="43"/>
      <c r="I1388" s="44"/>
      <c r="M1388" s="26"/>
    </row>
    <row r="1389">
      <c r="A1389" s="42"/>
      <c r="B1389" s="35"/>
      <c r="H1389" s="43"/>
      <c r="I1389" s="44"/>
      <c r="M1389" s="26"/>
    </row>
    <row r="1390">
      <c r="A1390" s="42"/>
      <c r="B1390" s="35"/>
      <c r="H1390" s="43"/>
      <c r="I1390" s="44"/>
      <c r="M1390" s="26"/>
    </row>
    <row r="1391">
      <c r="A1391" s="42"/>
      <c r="B1391" s="35"/>
      <c r="H1391" s="43"/>
      <c r="I1391" s="44"/>
      <c r="M1391" s="26"/>
    </row>
    <row r="1392">
      <c r="A1392" s="42"/>
      <c r="B1392" s="35"/>
      <c r="H1392" s="43"/>
      <c r="I1392" s="44"/>
      <c r="M1392" s="26"/>
    </row>
    <row r="1393">
      <c r="A1393" s="42"/>
      <c r="B1393" s="35"/>
      <c r="H1393" s="43"/>
      <c r="I1393" s="44"/>
      <c r="M1393" s="26"/>
    </row>
    <row r="1394">
      <c r="A1394" s="42"/>
      <c r="B1394" s="35"/>
      <c r="H1394" s="43"/>
      <c r="I1394" s="44"/>
      <c r="M1394" s="26"/>
    </row>
    <row r="1395">
      <c r="A1395" s="42"/>
      <c r="B1395" s="35"/>
      <c r="H1395" s="43"/>
      <c r="I1395" s="44"/>
      <c r="M1395" s="26"/>
    </row>
    <row r="1396">
      <c r="A1396" s="42"/>
      <c r="B1396" s="35"/>
      <c r="H1396" s="43"/>
      <c r="I1396" s="44"/>
      <c r="M1396" s="26"/>
    </row>
    <row r="1397">
      <c r="A1397" s="42"/>
      <c r="B1397" s="35"/>
      <c r="H1397" s="43"/>
      <c r="I1397" s="44"/>
      <c r="M1397" s="26"/>
    </row>
    <row r="1398">
      <c r="A1398" s="42"/>
      <c r="B1398" s="35"/>
      <c r="H1398" s="43"/>
      <c r="I1398" s="44"/>
      <c r="M1398" s="26"/>
    </row>
    <row r="1399">
      <c r="A1399" s="42"/>
      <c r="B1399" s="35"/>
      <c r="H1399" s="43"/>
      <c r="I1399" s="44"/>
      <c r="M1399" s="26"/>
    </row>
    <row r="1400">
      <c r="A1400" s="42"/>
      <c r="B1400" s="35"/>
      <c r="H1400" s="43"/>
      <c r="I1400" s="44"/>
      <c r="M1400" s="26"/>
    </row>
    <row r="1401">
      <c r="A1401" s="42"/>
      <c r="B1401" s="35"/>
      <c r="H1401" s="43"/>
      <c r="I1401" s="44"/>
      <c r="M1401" s="26"/>
    </row>
    <row r="1402">
      <c r="A1402" s="42"/>
      <c r="B1402" s="35"/>
      <c r="H1402" s="43"/>
      <c r="I1402" s="44"/>
      <c r="M1402" s="26"/>
    </row>
    <row r="1403">
      <c r="A1403" s="42"/>
      <c r="B1403" s="35"/>
      <c r="H1403" s="43"/>
      <c r="I1403" s="44"/>
      <c r="M1403" s="26"/>
    </row>
    <row r="1404">
      <c r="A1404" s="42"/>
      <c r="B1404" s="35"/>
      <c r="H1404" s="43"/>
      <c r="I1404" s="44"/>
      <c r="M1404" s="26"/>
    </row>
    <row r="1405">
      <c r="A1405" s="42"/>
      <c r="B1405" s="35"/>
      <c r="H1405" s="43"/>
      <c r="I1405" s="44"/>
      <c r="M1405" s="26"/>
    </row>
    <row r="1406">
      <c r="A1406" s="42"/>
      <c r="B1406" s="35"/>
      <c r="H1406" s="43"/>
      <c r="I1406" s="44"/>
      <c r="M1406" s="26"/>
    </row>
    <row r="1407">
      <c r="A1407" s="42"/>
      <c r="B1407" s="35"/>
      <c r="H1407" s="43"/>
      <c r="I1407" s="44"/>
      <c r="M1407" s="26"/>
    </row>
    <row r="1408">
      <c r="A1408" s="42"/>
      <c r="B1408" s="35"/>
      <c r="H1408" s="43"/>
      <c r="I1408" s="44"/>
      <c r="M1408" s="26"/>
    </row>
    <row r="1409">
      <c r="A1409" s="42"/>
      <c r="B1409" s="35"/>
      <c r="H1409" s="43"/>
      <c r="I1409" s="44"/>
      <c r="M1409" s="26"/>
    </row>
    <row r="1410">
      <c r="A1410" s="42"/>
      <c r="B1410" s="35"/>
      <c r="H1410" s="43"/>
      <c r="I1410" s="44"/>
      <c r="M1410" s="26"/>
    </row>
    <row r="1411">
      <c r="A1411" s="42"/>
      <c r="B1411" s="35"/>
      <c r="H1411" s="43"/>
      <c r="I1411" s="44"/>
      <c r="M1411" s="26"/>
    </row>
    <row r="1412">
      <c r="A1412" s="42"/>
      <c r="B1412" s="35"/>
      <c r="H1412" s="43"/>
      <c r="I1412" s="44"/>
      <c r="M1412" s="26"/>
    </row>
    <row r="1413">
      <c r="A1413" s="42"/>
      <c r="B1413" s="35"/>
      <c r="H1413" s="43"/>
      <c r="I1413" s="44"/>
      <c r="M1413" s="26"/>
    </row>
    <row r="1414">
      <c r="A1414" s="42"/>
      <c r="B1414" s="35"/>
      <c r="H1414" s="43"/>
      <c r="I1414" s="44"/>
      <c r="M1414" s="26"/>
    </row>
    <row r="1415">
      <c r="A1415" s="42"/>
      <c r="B1415" s="35"/>
      <c r="H1415" s="43"/>
      <c r="I1415" s="44"/>
      <c r="M1415" s="26"/>
    </row>
    <row r="1416">
      <c r="A1416" s="42"/>
      <c r="B1416" s="35"/>
      <c r="H1416" s="43"/>
      <c r="I1416" s="44"/>
      <c r="M1416" s="26"/>
    </row>
    <row r="1417">
      <c r="A1417" s="42"/>
      <c r="B1417" s="35"/>
      <c r="H1417" s="43"/>
      <c r="I1417" s="44"/>
      <c r="M1417" s="26"/>
    </row>
    <row r="1418">
      <c r="A1418" s="42"/>
      <c r="B1418" s="35"/>
      <c r="H1418" s="43"/>
      <c r="I1418" s="44"/>
      <c r="M1418" s="26"/>
    </row>
    <row r="1419">
      <c r="A1419" s="42"/>
      <c r="B1419" s="35"/>
      <c r="H1419" s="43"/>
      <c r="I1419" s="44"/>
      <c r="M1419" s="26"/>
    </row>
    <row r="1420">
      <c r="A1420" s="42"/>
      <c r="B1420" s="35"/>
      <c r="H1420" s="43"/>
      <c r="I1420" s="44"/>
      <c r="M1420" s="26"/>
    </row>
    <row r="1421">
      <c r="A1421" s="42"/>
      <c r="B1421" s="35"/>
      <c r="H1421" s="43"/>
      <c r="I1421" s="44"/>
      <c r="M1421" s="26"/>
    </row>
    <row r="1422">
      <c r="A1422" s="42"/>
      <c r="B1422" s="35"/>
      <c r="H1422" s="43"/>
      <c r="I1422" s="44"/>
      <c r="M1422" s="26"/>
    </row>
    <row r="1423">
      <c r="A1423" s="42"/>
      <c r="B1423" s="35"/>
      <c r="H1423" s="43"/>
      <c r="I1423" s="44"/>
      <c r="M1423" s="26"/>
    </row>
    <row r="1424">
      <c r="A1424" s="42"/>
      <c r="B1424" s="35"/>
      <c r="H1424" s="43"/>
      <c r="I1424" s="44"/>
      <c r="M1424" s="26"/>
    </row>
    <row r="1425">
      <c r="A1425" s="42"/>
      <c r="B1425" s="35"/>
      <c r="H1425" s="43"/>
      <c r="I1425" s="44"/>
      <c r="M1425" s="26"/>
    </row>
    <row r="1426">
      <c r="A1426" s="42"/>
      <c r="B1426" s="35"/>
      <c r="H1426" s="43"/>
      <c r="I1426" s="44"/>
      <c r="M1426" s="26"/>
    </row>
    <row r="1427">
      <c r="A1427" s="42"/>
      <c r="B1427" s="35"/>
      <c r="H1427" s="43"/>
      <c r="I1427" s="44"/>
      <c r="M1427" s="26"/>
    </row>
    <row r="1428">
      <c r="A1428" s="42"/>
      <c r="B1428" s="35"/>
      <c r="H1428" s="43"/>
      <c r="I1428" s="44"/>
      <c r="M1428" s="26"/>
    </row>
    <row r="1429">
      <c r="A1429" s="42"/>
      <c r="B1429" s="35"/>
      <c r="H1429" s="43"/>
      <c r="I1429" s="44"/>
      <c r="M1429" s="26"/>
    </row>
    <row r="1430">
      <c r="A1430" s="42"/>
      <c r="B1430" s="35"/>
      <c r="H1430" s="43"/>
      <c r="I1430" s="44"/>
      <c r="M1430" s="26"/>
    </row>
    <row r="1431">
      <c r="A1431" s="42"/>
      <c r="B1431" s="35"/>
      <c r="H1431" s="43"/>
      <c r="I1431" s="44"/>
      <c r="M1431" s="26"/>
    </row>
    <row r="1432">
      <c r="A1432" s="42"/>
      <c r="B1432" s="35"/>
      <c r="H1432" s="43"/>
      <c r="I1432" s="44"/>
      <c r="M1432" s="26"/>
    </row>
    <row r="1433">
      <c r="A1433" s="42"/>
      <c r="B1433" s="35"/>
      <c r="H1433" s="43"/>
      <c r="I1433" s="44"/>
      <c r="M1433" s="26"/>
    </row>
    <row r="1434">
      <c r="A1434" s="42"/>
      <c r="B1434" s="35"/>
      <c r="H1434" s="43"/>
      <c r="I1434" s="44"/>
      <c r="M1434" s="26"/>
    </row>
    <row r="1435">
      <c r="A1435" s="42"/>
      <c r="B1435" s="35"/>
      <c r="H1435" s="43"/>
      <c r="I1435" s="44"/>
      <c r="M1435" s="26"/>
    </row>
    <row r="1436">
      <c r="A1436" s="42"/>
      <c r="B1436" s="35"/>
      <c r="H1436" s="43"/>
      <c r="I1436" s="44"/>
      <c r="M1436" s="26"/>
    </row>
    <row r="1437">
      <c r="A1437" s="42"/>
      <c r="B1437" s="35"/>
      <c r="H1437" s="43"/>
      <c r="I1437" s="44"/>
      <c r="M1437" s="26"/>
    </row>
    <row r="1438">
      <c r="A1438" s="42"/>
      <c r="B1438" s="35"/>
      <c r="H1438" s="43"/>
      <c r="I1438" s="44"/>
      <c r="M1438" s="26"/>
    </row>
    <row r="1439">
      <c r="A1439" s="42"/>
      <c r="B1439" s="35"/>
      <c r="H1439" s="43"/>
      <c r="I1439" s="44"/>
      <c r="M1439" s="26"/>
    </row>
    <row r="1440">
      <c r="A1440" s="42"/>
      <c r="B1440" s="35"/>
      <c r="H1440" s="43"/>
      <c r="I1440" s="44"/>
      <c r="M1440" s="26"/>
    </row>
    <row r="1441">
      <c r="A1441" s="42"/>
      <c r="B1441" s="35"/>
      <c r="H1441" s="43"/>
      <c r="I1441" s="44"/>
      <c r="M1441" s="26"/>
    </row>
    <row r="1442">
      <c r="A1442" s="42"/>
      <c r="B1442" s="35"/>
      <c r="H1442" s="43"/>
      <c r="I1442" s="44"/>
      <c r="M1442" s="26"/>
    </row>
    <row r="1443">
      <c r="A1443" s="42"/>
      <c r="B1443" s="35"/>
      <c r="H1443" s="43"/>
      <c r="I1443" s="44"/>
      <c r="M1443" s="26"/>
    </row>
    <row r="1444">
      <c r="A1444" s="42"/>
      <c r="B1444" s="35"/>
      <c r="H1444" s="43"/>
      <c r="I1444" s="44"/>
      <c r="M1444" s="26"/>
    </row>
    <row r="1445">
      <c r="A1445" s="42"/>
      <c r="B1445" s="35"/>
      <c r="H1445" s="43"/>
      <c r="I1445" s="44"/>
      <c r="M1445" s="26"/>
    </row>
    <row r="1446">
      <c r="A1446" s="42"/>
      <c r="B1446" s="35"/>
      <c r="H1446" s="43"/>
      <c r="I1446" s="44"/>
      <c r="M1446" s="26"/>
    </row>
    <row r="1447">
      <c r="A1447" s="42"/>
      <c r="B1447" s="35"/>
      <c r="H1447" s="43"/>
      <c r="I1447" s="44"/>
      <c r="M1447" s="26"/>
    </row>
    <row r="1448">
      <c r="A1448" s="42"/>
      <c r="B1448" s="35"/>
      <c r="H1448" s="43"/>
      <c r="I1448" s="44"/>
      <c r="M1448" s="26"/>
    </row>
    <row r="1449">
      <c r="A1449" s="42"/>
      <c r="B1449" s="35"/>
      <c r="H1449" s="43"/>
      <c r="I1449" s="44"/>
      <c r="M1449" s="26"/>
    </row>
    <row r="1450">
      <c r="A1450" s="42"/>
      <c r="B1450" s="35"/>
      <c r="H1450" s="43"/>
      <c r="I1450" s="44"/>
      <c r="M1450" s="26"/>
    </row>
    <row r="1451">
      <c r="A1451" s="42"/>
      <c r="B1451" s="35"/>
      <c r="H1451" s="43"/>
      <c r="I1451" s="44"/>
      <c r="M1451" s="26"/>
    </row>
    <row r="1452">
      <c r="A1452" s="42"/>
      <c r="B1452" s="35"/>
      <c r="H1452" s="43"/>
      <c r="I1452" s="44"/>
      <c r="M1452" s="26"/>
    </row>
    <row r="1453">
      <c r="A1453" s="42"/>
      <c r="B1453" s="35"/>
      <c r="H1453" s="43"/>
      <c r="I1453" s="44"/>
      <c r="M1453" s="26"/>
    </row>
    <row r="1454">
      <c r="A1454" s="42"/>
      <c r="B1454" s="35"/>
      <c r="H1454" s="43"/>
      <c r="I1454" s="44"/>
      <c r="M1454" s="26"/>
    </row>
    <row r="1455">
      <c r="A1455" s="42"/>
      <c r="B1455" s="35"/>
      <c r="H1455" s="43"/>
      <c r="I1455" s="44"/>
      <c r="M1455" s="26"/>
    </row>
    <row r="1456">
      <c r="A1456" s="42"/>
      <c r="B1456" s="35"/>
      <c r="H1456" s="43"/>
      <c r="I1456" s="44"/>
      <c r="M1456" s="26"/>
    </row>
    <row r="1457">
      <c r="A1457" s="42"/>
      <c r="B1457" s="35"/>
      <c r="H1457" s="43"/>
      <c r="I1457" s="44"/>
      <c r="M1457" s="26"/>
    </row>
    <row r="1458">
      <c r="A1458" s="42"/>
      <c r="B1458" s="35"/>
      <c r="H1458" s="43"/>
      <c r="I1458" s="44"/>
      <c r="M1458" s="26"/>
    </row>
    <row r="1459">
      <c r="A1459" s="42"/>
      <c r="B1459" s="35"/>
      <c r="H1459" s="43"/>
      <c r="I1459" s="44"/>
      <c r="M1459" s="26"/>
    </row>
    <row r="1460">
      <c r="A1460" s="42"/>
      <c r="B1460" s="35"/>
      <c r="H1460" s="43"/>
      <c r="I1460" s="44"/>
      <c r="M1460" s="26"/>
    </row>
    <row r="1461">
      <c r="A1461" s="42"/>
      <c r="B1461" s="35"/>
      <c r="H1461" s="43"/>
      <c r="I1461" s="44"/>
      <c r="M1461" s="26"/>
    </row>
    <row r="1462">
      <c r="A1462" s="42"/>
      <c r="B1462" s="35"/>
      <c r="H1462" s="43"/>
      <c r="I1462" s="44"/>
      <c r="M1462" s="26"/>
    </row>
    <row r="1463">
      <c r="A1463" s="42"/>
      <c r="B1463" s="35"/>
      <c r="H1463" s="43"/>
      <c r="I1463" s="44"/>
      <c r="M1463" s="26"/>
    </row>
    <row r="1464">
      <c r="A1464" s="42"/>
      <c r="B1464" s="35"/>
      <c r="H1464" s="43"/>
      <c r="I1464" s="44"/>
      <c r="M1464" s="26"/>
    </row>
    <row r="1465">
      <c r="A1465" s="42"/>
      <c r="B1465" s="35"/>
      <c r="H1465" s="43"/>
      <c r="I1465" s="44"/>
      <c r="M1465" s="26"/>
    </row>
    <row r="1466">
      <c r="A1466" s="42"/>
      <c r="B1466" s="35"/>
      <c r="H1466" s="43"/>
      <c r="I1466" s="44"/>
      <c r="M1466" s="26"/>
    </row>
    <row r="1467">
      <c r="A1467" s="42"/>
      <c r="B1467" s="35"/>
      <c r="H1467" s="43"/>
      <c r="I1467" s="44"/>
      <c r="M1467" s="26"/>
    </row>
    <row r="1468">
      <c r="A1468" s="42"/>
      <c r="B1468" s="35"/>
      <c r="H1468" s="43"/>
      <c r="I1468" s="44"/>
      <c r="M1468" s="26"/>
    </row>
    <row r="1469">
      <c r="A1469" s="42"/>
      <c r="B1469" s="35"/>
      <c r="H1469" s="43"/>
      <c r="I1469" s="44"/>
      <c r="M1469" s="26"/>
    </row>
    <row r="1470">
      <c r="A1470" s="42"/>
      <c r="B1470" s="35"/>
      <c r="H1470" s="43"/>
      <c r="I1470" s="44"/>
      <c r="M1470" s="26"/>
    </row>
    <row r="1471">
      <c r="A1471" s="42"/>
      <c r="B1471" s="35"/>
      <c r="H1471" s="43"/>
      <c r="I1471" s="44"/>
      <c r="M1471" s="26"/>
    </row>
    <row r="1472">
      <c r="A1472" s="42"/>
      <c r="B1472" s="35"/>
      <c r="H1472" s="43"/>
      <c r="I1472" s="44"/>
      <c r="M1472" s="26"/>
    </row>
    <row r="1473">
      <c r="A1473" s="42"/>
      <c r="B1473" s="35"/>
      <c r="H1473" s="43"/>
      <c r="I1473" s="44"/>
      <c r="M1473" s="26"/>
    </row>
    <row r="1474">
      <c r="A1474" s="42"/>
      <c r="B1474" s="35"/>
      <c r="H1474" s="43"/>
      <c r="I1474" s="44"/>
      <c r="M1474" s="26"/>
    </row>
    <row r="1475">
      <c r="A1475" s="42"/>
      <c r="B1475" s="35"/>
      <c r="H1475" s="43"/>
      <c r="I1475" s="44"/>
      <c r="M1475" s="26"/>
    </row>
    <row r="1476">
      <c r="A1476" s="42"/>
      <c r="B1476" s="35"/>
      <c r="H1476" s="43"/>
      <c r="I1476" s="44"/>
      <c r="M1476" s="26"/>
    </row>
    <row r="1477">
      <c r="A1477" s="42"/>
      <c r="B1477" s="35"/>
      <c r="H1477" s="43"/>
      <c r="I1477" s="44"/>
      <c r="M1477" s="26"/>
    </row>
    <row r="1478">
      <c r="A1478" s="42"/>
      <c r="B1478" s="35"/>
      <c r="H1478" s="43"/>
      <c r="I1478" s="44"/>
      <c r="M1478" s="26"/>
    </row>
    <row r="1479">
      <c r="A1479" s="42"/>
      <c r="B1479" s="35"/>
      <c r="H1479" s="43"/>
      <c r="I1479" s="44"/>
      <c r="M1479" s="26"/>
    </row>
    <row r="1480">
      <c r="A1480" s="42"/>
      <c r="B1480" s="35"/>
      <c r="H1480" s="43"/>
      <c r="I1480" s="44"/>
      <c r="M1480" s="26"/>
    </row>
    <row r="1481">
      <c r="A1481" s="42"/>
      <c r="B1481" s="35"/>
      <c r="H1481" s="43"/>
      <c r="I1481" s="44"/>
      <c r="M1481" s="26"/>
    </row>
    <row r="1482">
      <c r="A1482" s="42"/>
      <c r="B1482" s="35"/>
      <c r="H1482" s="43"/>
      <c r="I1482" s="44"/>
      <c r="M1482" s="26"/>
    </row>
    <row r="1483">
      <c r="A1483" s="42"/>
      <c r="B1483" s="35"/>
      <c r="H1483" s="43"/>
      <c r="I1483" s="44"/>
      <c r="M1483" s="26"/>
    </row>
    <row r="1484">
      <c r="A1484" s="42"/>
      <c r="B1484" s="35"/>
      <c r="H1484" s="43"/>
      <c r="I1484" s="44"/>
      <c r="M1484" s="26"/>
    </row>
    <row r="1485">
      <c r="A1485" s="42"/>
      <c r="B1485" s="35"/>
      <c r="H1485" s="43"/>
      <c r="I1485" s="44"/>
      <c r="M1485" s="26"/>
    </row>
    <row r="1486">
      <c r="A1486" s="42"/>
      <c r="B1486" s="35"/>
      <c r="H1486" s="43"/>
      <c r="I1486" s="44"/>
      <c r="M1486" s="26"/>
    </row>
    <row r="1487">
      <c r="A1487" s="42"/>
      <c r="B1487" s="35"/>
      <c r="H1487" s="43"/>
      <c r="I1487" s="44"/>
      <c r="M1487" s="26"/>
    </row>
    <row r="1488">
      <c r="A1488" s="42"/>
      <c r="B1488" s="35"/>
      <c r="H1488" s="43"/>
      <c r="I1488" s="44"/>
      <c r="M1488" s="26"/>
    </row>
    <row r="1489">
      <c r="A1489" s="42"/>
      <c r="B1489" s="35"/>
      <c r="H1489" s="43"/>
      <c r="I1489" s="44"/>
      <c r="M1489" s="26"/>
    </row>
    <row r="1490">
      <c r="A1490" s="42"/>
      <c r="B1490" s="35"/>
      <c r="H1490" s="43"/>
      <c r="I1490" s="44"/>
      <c r="M1490" s="26"/>
    </row>
    <row r="1491">
      <c r="A1491" s="42"/>
      <c r="B1491" s="35"/>
      <c r="H1491" s="43"/>
      <c r="I1491" s="44"/>
      <c r="M1491" s="26"/>
    </row>
    <row r="1492">
      <c r="A1492" s="42"/>
      <c r="B1492" s="35"/>
      <c r="H1492" s="43"/>
      <c r="I1492" s="44"/>
      <c r="M1492" s="26"/>
    </row>
    <row r="1493">
      <c r="A1493" s="42"/>
      <c r="B1493" s="35"/>
      <c r="H1493" s="43"/>
      <c r="I1493" s="44"/>
      <c r="M1493" s="26"/>
    </row>
    <row r="1494">
      <c r="A1494" s="42"/>
      <c r="B1494" s="35"/>
      <c r="H1494" s="43"/>
      <c r="I1494" s="44"/>
      <c r="M1494" s="26"/>
    </row>
    <row r="1495">
      <c r="A1495" s="42"/>
      <c r="B1495" s="35"/>
      <c r="H1495" s="43"/>
      <c r="I1495" s="44"/>
      <c r="M1495" s="26"/>
    </row>
    <row r="1496">
      <c r="A1496" s="42"/>
      <c r="B1496" s="35"/>
      <c r="H1496" s="43"/>
      <c r="I1496" s="44"/>
      <c r="M1496" s="26"/>
    </row>
    <row r="1497">
      <c r="A1497" s="42"/>
      <c r="B1497" s="35"/>
      <c r="H1497" s="43"/>
      <c r="I1497" s="44"/>
      <c r="M1497" s="26"/>
    </row>
    <row r="1498">
      <c r="A1498" s="42"/>
      <c r="B1498" s="35"/>
      <c r="H1498" s="43"/>
      <c r="I1498" s="44"/>
      <c r="M1498" s="26"/>
    </row>
    <row r="1499">
      <c r="A1499" s="42"/>
      <c r="B1499" s="35"/>
      <c r="H1499" s="43"/>
      <c r="I1499" s="44"/>
      <c r="M1499" s="26"/>
    </row>
    <row r="1500">
      <c r="A1500" s="42"/>
      <c r="B1500" s="35"/>
      <c r="H1500" s="43"/>
      <c r="I1500" s="44"/>
      <c r="M1500" s="26"/>
    </row>
    <row r="1501">
      <c r="A1501" s="42"/>
      <c r="B1501" s="35"/>
      <c r="H1501" s="43"/>
      <c r="I1501" s="44"/>
      <c r="M1501" s="26"/>
    </row>
    <row r="1502">
      <c r="A1502" s="42"/>
      <c r="B1502" s="35"/>
      <c r="H1502" s="43"/>
      <c r="I1502" s="44"/>
      <c r="M1502" s="26"/>
    </row>
    <row r="1503">
      <c r="A1503" s="42"/>
      <c r="B1503" s="35"/>
      <c r="H1503" s="43"/>
      <c r="I1503" s="44"/>
      <c r="M1503" s="26"/>
    </row>
    <row r="1504">
      <c r="A1504" s="42"/>
      <c r="B1504" s="35"/>
      <c r="H1504" s="43"/>
      <c r="I1504" s="44"/>
      <c r="M1504" s="26"/>
    </row>
    <row r="1505">
      <c r="A1505" s="42"/>
      <c r="B1505" s="35"/>
      <c r="H1505" s="43"/>
      <c r="I1505" s="44"/>
      <c r="M1505" s="26"/>
    </row>
    <row r="1506">
      <c r="A1506" s="42"/>
      <c r="B1506" s="35"/>
      <c r="H1506" s="43"/>
      <c r="I1506" s="44"/>
      <c r="M1506" s="26"/>
    </row>
    <row r="1507">
      <c r="A1507" s="42"/>
      <c r="B1507" s="35"/>
      <c r="H1507" s="43"/>
      <c r="I1507" s="44"/>
      <c r="M1507" s="26"/>
    </row>
    <row r="1508">
      <c r="A1508" s="42"/>
      <c r="B1508" s="35"/>
      <c r="H1508" s="43"/>
      <c r="I1508" s="44"/>
      <c r="M1508" s="26"/>
    </row>
    <row r="1509">
      <c r="A1509" s="42"/>
      <c r="B1509" s="35"/>
      <c r="H1509" s="43"/>
      <c r="I1509" s="44"/>
      <c r="M1509" s="26"/>
    </row>
    <row r="1510">
      <c r="A1510" s="42"/>
      <c r="B1510" s="35"/>
      <c r="H1510" s="43"/>
      <c r="I1510" s="44"/>
      <c r="M1510" s="26"/>
    </row>
    <row r="1511">
      <c r="A1511" s="42"/>
      <c r="B1511" s="35"/>
      <c r="H1511" s="43"/>
      <c r="I1511" s="44"/>
      <c r="M1511" s="26"/>
    </row>
    <row r="1512">
      <c r="A1512" s="42"/>
      <c r="B1512" s="35"/>
      <c r="H1512" s="43"/>
      <c r="I1512" s="44"/>
      <c r="M1512" s="26"/>
    </row>
    <row r="1513">
      <c r="A1513" s="42"/>
      <c r="B1513" s="35"/>
      <c r="H1513" s="43"/>
      <c r="I1513" s="44"/>
      <c r="M1513" s="26"/>
    </row>
    <row r="1514">
      <c r="A1514" s="42"/>
      <c r="B1514" s="35"/>
      <c r="H1514" s="43"/>
      <c r="I1514" s="44"/>
      <c r="M1514" s="26"/>
    </row>
    <row r="1515">
      <c r="A1515" s="42"/>
      <c r="B1515" s="35"/>
      <c r="H1515" s="43"/>
      <c r="I1515" s="44"/>
      <c r="M1515" s="26"/>
    </row>
    <row r="1516">
      <c r="A1516" s="42"/>
      <c r="B1516" s="35"/>
      <c r="H1516" s="43"/>
      <c r="I1516" s="44"/>
      <c r="M1516" s="26"/>
    </row>
    <row r="1517">
      <c r="A1517" s="42"/>
      <c r="B1517" s="35"/>
      <c r="H1517" s="43"/>
      <c r="I1517" s="44"/>
      <c r="M1517" s="26"/>
    </row>
    <row r="1518">
      <c r="A1518" s="42"/>
      <c r="B1518" s="35"/>
      <c r="H1518" s="43"/>
      <c r="I1518" s="44"/>
      <c r="M1518" s="26"/>
    </row>
    <row r="1519">
      <c r="A1519" s="42"/>
      <c r="B1519" s="35"/>
      <c r="H1519" s="43"/>
      <c r="I1519" s="44"/>
      <c r="M1519" s="26"/>
    </row>
    <row r="1520">
      <c r="A1520" s="42"/>
      <c r="B1520" s="35"/>
      <c r="H1520" s="43"/>
      <c r="I1520" s="44"/>
      <c r="M1520" s="26"/>
    </row>
    <row r="1521">
      <c r="A1521" s="42"/>
      <c r="B1521" s="35"/>
      <c r="H1521" s="43"/>
      <c r="I1521" s="44"/>
      <c r="M1521" s="26"/>
    </row>
    <row r="1522">
      <c r="A1522" s="42"/>
      <c r="B1522" s="35"/>
      <c r="H1522" s="43"/>
      <c r="I1522" s="44"/>
      <c r="M1522" s="26"/>
    </row>
    <row r="1523">
      <c r="A1523" s="42"/>
      <c r="B1523" s="35"/>
      <c r="H1523" s="43"/>
      <c r="I1523" s="44"/>
      <c r="M1523" s="26"/>
    </row>
    <row r="1524">
      <c r="A1524" s="42"/>
      <c r="B1524" s="35"/>
      <c r="H1524" s="43"/>
      <c r="I1524" s="44"/>
      <c r="M1524" s="26"/>
    </row>
    <row r="1525">
      <c r="A1525" s="42"/>
      <c r="B1525" s="35"/>
      <c r="H1525" s="43"/>
      <c r="I1525" s="44"/>
      <c r="M1525" s="26"/>
    </row>
    <row r="1526">
      <c r="A1526" s="42"/>
      <c r="B1526" s="35"/>
      <c r="H1526" s="43"/>
      <c r="I1526" s="44"/>
      <c r="M1526" s="26"/>
    </row>
    <row r="1527">
      <c r="A1527" s="42"/>
      <c r="B1527" s="35"/>
      <c r="H1527" s="43"/>
      <c r="I1527" s="44"/>
      <c r="M1527" s="26"/>
    </row>
    <row r="1528">
      <c r="A1528" s="42"/>
      <c r="B1528" s="35"/>
      <c r="H1528" s="43"/>
      <c r="I1528" s="44"/>
      <c r="M1528" s="26"/>
    </row>
    <row r="1529">
      <c r="A1529" s="42"/>
      <c r="B1529" s="35"/>
      <c r="H1529" s="43"/>
      <c r="I1529" s="44"/>
      <c r="M1529" s="26"/>
    </row>
    <row r="1530">
      <c r="A1530" s="42"/>
      <c r="B1530" s="35"/>
      <c r="H1530" s="43"/>
      <c r="I1530" s="44"/>
      <c r="M1530" s="26"/>
    </row>
    <row r="1531">
      <c r="A1531" s="42"/>
      <c r="B1531" s="35"/>
      <c r="H1531" s="43"/>
      <c r="I1531" s="44"/>
      <c r="M1531" s="26"/>
    </row>
    <row r="1532">
      <c r="A1532" s="42"/>
      <c r="B1532" s="35"/>
      <c r="H1532" s="43"/>
      <c r="I1532" s="44"/>
      <c r="M1532" s="26"/>
    </row>
    <row r="1533">
      <c r="A1533" s="42"/>
      <c r="B1533" s="35"/>
      <c r="H1533" s="43"/>
      <c r="I1533" s="44"/>
      <c r="M1533" s="26"/>
    </row>
    <row r="1534">
      <c r="A1534" s="42"/>
      <c r="B1534" s="35"/>
      <c r="H1534" s="43"/>
      <c r="I1534" s="44"/>
      <c r="M1534" s="26"/>
    </row>
    <row r="1535">
      <c r="A1535" s="42"/>
      <c r="B1535" s="35"/>
      <c r="H1535" s="43"/>
      <c r="I1535" s="44"/>
      <c r="M1535" s="26"/>
    </row>
    <row r="1536">
      <c r="A1536" s="42"/>
      <c r="B1536" s="35"/>
      <c r="H1536" s="43"/>
      <c r="I1536" s="44"/>
      <c r="M1536" s="26"/>
    </row>
    <row r="1537">
      <c r="A1537" s="42"/>
      <c r="B1537" s="35"/>
      <c r="H1537" s="43"/>
      <c r="I1537" s="44"/>
      <c r="M1537" s="26"/>
    </row>
    <row r="1538">
      <c r="A1538" s="42"/>
      <c r="B1538" s="35"/>
      <c r="H1538" s="43"/>
      <c r="I1538" s="44"/>
      <c r="M1538" s="26"/>
    </row>
    <row r="1539">
      <c r="A1539" s="42"/>
      <c r="B1539" s="35"/>
      <c r="H1539" s="43"/>
      <c r="I1539" s="44"/>
      <c r="M1539" s="26"/>
    </row>
    <row r="1540">
      <c r="A1540" s="42"/>
      <c r="B1540" s="35"/>
      <c r="H1540" s="43"/>
      <c r="I1540" s="44"/>
      <c r="M1540" s="26"/>
    </row>
    <row r="1541">
      <c r="A1541" s="42"/>
      <c r="B1541" s="35"/>
      <c r="H1541" s="43"/>
      <c r="I1541" s="44"/>
      <c r="M1541" s="26"/>
    </row>
    <row r="1542">
      <c r="A1542" s="42"/>
      <c r="B1542" s="35"/>
      <c r="H1542" s="43"/>
      <c r="I1542" s="44"/>
      <c r="M1542" s="26"/>
    </row>
    <row r="1543">
      <c r="A1543" s="42"/>
      <c r="B1543" s="35"/>
      <c r="H1543" s="43"/>
      <c r="I1543" s="44"/>
      <c r="M1543" s="26"/>
    </row>
    <row r="1544">
      <c r="A1544" s="42"/>
      <c r="B1544" s="35"/>
      <c r="H1544" s="43"/>
      <c r="I1544" s="44"/>
      <c r="M1544" s="26"/>
    </row>
    <row r="1545">
      <c r="A1545" s="42"/>
      <c r="B1545" s="35"/>
      <c r="H1545" s="43"/>
      <c r="I1545" s="44"/>
      <c r="M1545" s="26"/>
    </row>
    <row r="1546">
      <c r="A1546" s="42"/>
      <c r="B1546" s="35"/>
      <c r="H1546" s="43"/>
      <c r="I1546" s="44"/>
      <c r="M1546" s="26"/>
    </row>
    <row r="1547">
      <c r="A1547" s="42"/>
      <c r="B1547" s="35"/>
      <c r="H1547" s="43"/>
      <c r="I1547" s="44"/>
      <c r="M1547" s="26"/>
    </row>
    <row r="1548">
      <c r="A1548" s="42"/>
      <c r="B1548" s="35"/>
      <c r="H1548" s="43"/>
      <c r="I1548" s="44"/>
      <c r="M1548" s="26"/>
    </row>
    <row r="1549">
      <c r="A1549" s="42"/>
      <c r="B1549" s="35"/>
      <c r="H1549" s="43"/>
      <c r="I1549" s="44"/>
      <c r="M1549" s="26"/>
    </row>
    <row r="1550">
      <c r="A1550" s="42"/>
      <c r="B1550" s="35"/>
      <c r="H1550" s="43"/>
      <c r="I1550" s="44"/>
      <c r="M1550" s="26"/>
    </row>
    <row r="1551">
      <c r="A1551" s="42"/>
      <c r="B1551" s="35"/>
      <c r="H1551" s="43"/>
      <c r="I1551" s="44"/>
      <c r="M1551" s="26"/>
    </row>
    <row r="1552">
      <c r="A1552" s="42"/>
      <c r="B1552" s="35"/>
      <c r="H1552" s="43"/>
      <c r="I1552" s="44"/>
      <c r="M1552" s="26"/>
    </row>
    <row r="1553">
      <c r="A1553" s="42"/>
      <c r="B1553" s="35"/>
      <c r="H1553" s="43"/>
      <c r="I1553" s="44"/>
      <c r="M1553" s="26"/>
    </row>
    <row r="1554">
      <c r="A1554" s="42"/>
      <c r="B1554" s="35"/>
      <c r="H1554" s="43"/>
      <c r="I1554" s="44"/>
      <c r="M1554" s="26"/>
    </row>
    <row r="1555">
      <c r="A1555" s="42"/>
      <c r="B1555" s="35"/>
      <c r="H1555" s="43"/>
      <c r="I1555" s="44"/>
      <c r="M1555" s="26"/>
    </row>
    <row r="1556">
      <c r="A1556" s="42"/>
      <c r="B1556" s="35"/>
      <c r="H1556" s="43"/>
      <c r="I1556" s="44"/>
      <c r="M1556" s="26"/>
    </row>
    <row r="1557">
      <c r="A1557" s="42"/>
      <c r="B1557" s="35"/>
      <c r="H1557" s="43"/>
      <c r="I1557" s="44"/>
      <c r="M1557" s="26"/>
    </row>
    <row r="1558">
      <c r="A1558" s="42"/>
      <c r="B1558" s="35"/>
      <c r="H1558" s="43"/>
      <c r="I1558" s="44"/>
      <c r="M1558" s="26"/>
    </row>
    <row r="1559">
      <c r="A1559" s="42"/>
      <c r="B1559" s="35"/>
      <c r="H1559" s="43"/>
      <c r="I1559" s="44"/>
      <c r="M1559" s="26"/>
    </row>
    <row r="1560">
      <c r="A1560" s="42"/>
      <c r="B1560" s="35"/>
      <c r="H1560" s="43"/>
      <c r="I1560" s="44"/>
      <c r="M1560" s="26"/>
    </row>
    <row r="1561">
      <c r="A1561" s="42"/>
      <c r="B1561" s="35"/>
      <c r="H1561" s="43"/>
      <c r="I1561" s="44"/>
      <c r="M1561" s="26"/>
    </row>
    <row r="1562">
      <c r="A1562" s="42"/>
      <c r="B1562" s="35"/>
      <c r="H1562" s="43"/>
      <c r="I1562" s="44"/>
      <c r="M1562" s="26"/>
    </row>
    <row r="1563">
      <c r="A1563" s="42"/>
      <c r="B1563" s="35"/>
      <c r="H1563" s="43"/>
      <c r="I1563" s="44"/>
      <c r="M1563" s="26"/>
    </row>
    <row r="1564">
      <c r="A1564" s="42"/>
      <c r="B1564" s="35"/>
      <c r="H1564" s="43"/>
      <c r="I1564" s="44"/>
      <c r="M1564" s="26"/>
    </row>
    <row r="1565">
      <c r="A1565" s="42"/>
      <c r="B1565" s="35"/>
      <c r="H1565" s="43"/>
      <c r="I1565" s="44"/>
      <c r="M1565" s="26"/>
    </row>
    <row r="1566">
      <c r="A1566" s="42"/>
      <c r="B1566" s="35"/>
      <c r="H1566" s="43"/>
      <c r="I1566" s="44"/>
      <c r="M1566" s="26"/>
    </row>
    <row r="1567">
      <c r="A1567" s="42"/>
      <c r="B1567" s="35"/>
      <c r="H1567" s="43"/>
      <c r="I1567" s="44"/>
      <c r="M1567" s="26"/>
    </row>
    <row r="1568">
      <c r="A1568" s="42"/>
      <c r="B1568" s="35"/>
      <c r="H1568" s="43"/>
      <c r="I1568" s="44"/>
      <c r="M1568" s="26"/>
    </row>
    <row r="1569">
      <c r="A1569" s="42"/>
      <c r="B1569" s="35"/>
      <c r="H1569" s="43"/>
      <c r="I1569" s="44"/>
      <c r="M1569" s="26"/>
    </row>
    <row r="1570">
      <c r="A1570" s="42"/>
      <c r="B1570" s="35"/>
      <c r="H1570" s="43"/>
      <c r="I1570" s="44"/>
      <c r="M1570" s="26"/>
    </row>
    <row r="1571">
      <c r="A1571" s="42"/>
      <c r="B1571" s="35"/>
      <c r="H1571" s="43"/>
      <c r="I1571" s="44"/>
      <c r="M1571" s="26"/>
    </row>
    <row r="1572">
      <c r="A1572" s="42"/>
      <c r="B1572" s="35"/>
      <c r="H1572" s="43"/>
      <c r="I1572" s="44"/>
      <c r="M1572" s="26"/>
    </row>
    <row r="1573">
      <c r="A1573" s="42"/>
      <c r="B1573" s="35"/>
      <c r="H1573" s="43"/>
      <c r="I1573" s="44"/>
      <c r="M1573" s="26"/>
    </row>
    <row r="1574">
      <c r="A1574" s="42"/>
      <c r="B1574" s="35"/>
      <c r="H1574" s="43"/>
      <c r="I1574" s="44"/>
      <c r="M1574" s="26"/>
    </row>
    <row r="1575">
      <c r="A1575" s="42"/>
      <c r="B1575" s="35"/>
      <c r="H1575" s="43"/>
      <c r="I1575" s="44"/>
      <c r="M1575" s="26"/>
    </row>
    <row r="1576">
      <c r="A1576" s="42"/>
      <c r="B1576" s="35"/>
      <c r="H1576" s="43"/>
      <c r="I1576" s="44"/>
      <c r="M1576" s="26"/>
    </row>
    <row r="1577">
      <c r="A1577" s="42"/>
      <c r="B1577" s="35"/>
      <c r="H1577" s="43"/>
      <c r="I1577" s="44"/>
      <c r="M1577" s="26"/>
    </row>
    <row r="1578">
      <c r="A1578" s="42"/>
      <c r="B1578" s="35"/>
      <c r="H1578" s="43"/>
      <c r="I1578" s="44"/>
      <c r="M1578" s="26"/>
    </row>
    <row r="1579">
      <c r="A1579" s="42"/>
      <c r="B1579" s="35"/>
      <c r="H1579" s="43"/>
      <c r="I1579" s="44"/>
      <c r="M1579" s="26"/>
    </row>
    <row r="1580">
      <c r="A1580" s="42"/>
      <c r="B1580" s="35"/>
      <c r="H1580" s="43"/>
      <c r="I1580" s="44"/>
      <c r="M1580" s="26"/>
    </row>
    <row r="1581">
      <c r="A1581" s="42"/>
      <c r="B1581" s="35"/>
      <c r="H1581" s="43"/>
      <c r="I1581" s="44"/>
      <c r="M1581" s="26"/>
    </row>
    <row r="1582">
      <c r="A1582" s="42"/>
      <c r="B1582" s="35"/>
      <c r="H1582" s="43"/>
      <c r="I1582" s="44"/>
      <c r="M1582" s="26"/>
    </row>
    <row r="1583">
      <c r="A1583" s="42"/>
      <c r="B1583" s="35"/>
      <c r="H1583" s="43"/>
      <c r="I1583" s="44"/>
      <c r="M1583" s="26"/>
    </row>
    <row r="1584">
      <c r="A1584" s="42"/>
      <c r="B1584" s="35"/>
      <c r="H1584" s="43"/>
      <c r="I1584" s="44"/>
      <c r="M1584" s="26"/>
    </row>
    <row r="1585">
      <c r="A1585" s="42"/>
      <c r="B1585" s="35"/>
      <c r="H1585" s="43"/>
      <c r="I1585" s="44"/>
      <c r="M1585" s="26"/>
    </row>
    <row r="1586">
      <c r="A1586" s="42"/>
      <c r="B1586" s="35"/>
      <c r="H1586" s="43"/>
      <c r="I1586" s="44"/>
      <c r="M1586" s="26"/>
    </row>
    <row r="1587">
      <c r="A1587" s="42"/>
      <c r="B1587" s="35"/>
      <c r="H1587" s="43"/>
      <c r="I1587" s="44"/>
      <c r="M1587" s="26"/>
    </row>
    <row r="1588">
      <c r="A1588" s="42"/>
      <c r="B1588" s="35"/>
      <c r="H1588" s="43"/>
      <c r="I1588" s="44"/>
      <c r="M1588" s="26"/>
    </row>
    <row r="1589">
      <c r="A1589" s="42"/>
      <c r="B1589" s="35"/>
      <c r="H1589" s="43"/>
      <c r="I1589" s="44"/>
      <c r="M1589" s="26"/>
    </row>
    <row r="1590">
      <c r="A1590" s="42"/>
      <c r="B1590" s="35"/>
      <c r="H1590" s="43"/>
      <c r="I1590" s="44"/>
      <c r="M1590" s="26"/>
    </row>
    <row r="1591">
      <c r="A1591" s="42"/>
      <c r="B1591" s="35"/>
      <c r="H1591" s="43"/>
      <c r="I1591" s="44"/>
      <c r="M1591" s="26"/>
    </row>
    <row r="1592">
      <c r="A1592" s="42"/>
      <c r="B1592" s="35"/>
      <c r="H1592" s="43"/>
      <c r="I1592" s="44"/>
      <c r="M1592" s="26"/>
    </row>
    <row r="1593">
      <c r="A1593" s="42"/>
      <c r="B1593" s="35"/>
      <c r="H1593" s="43"/>
      <c r="I1593" s="44"/>
      <c r="M1593" s="26"/>
    </row>
    <row r="1594">
      <c r="A1594" s="42"/>
      <c r="B1594" s="35"/>
      <c r="H1594" s="43"/>
      <c r="I1594" s="44"/>
      <c r="M1594" s="26"/>
    </row>
    <row r="1595">
      <c r="A1595" s="42"/>
      <c r="B1595" s="35"/>
      <c r="H1595" s="43"/>
      <c r="I1595" s="44"/>
      <c r="M1595" s="26"/>
    </row>
    <row r="1596">
      <c r="A1596" s="42"/>
      <c r="B1596" s="35"/>
      <c r="H1596" s="43"/>
      <c r="I1596" s="44"/>
      <c r="M1596" s="26"/>
    </row>
    <row r="1597">
      <c r="A1597" s="42"/>
      <c r="B1597" s="35"/>
      <c r="H1597" s="43"/>
      <c r="I1597" s="44"/>
      <c r="M1597" s="26"/>
    </row>
    <row r="1598">
      <c r="A1598" s="42"/>
      <c r="B1598" s="35"/>
      <c r="H1598" s="43"/>
      <c r="I1598" s="44"/>
      <c r="M1598" s="26"/>
    </row>
    <row r="1599">
      <c r="A1599" s="42"/>
      <c r="B1599" s="35"/>
      <c r="H1599" s="43"/>
      <c r="I1599" s="44"/>
      <c r="M1599" s="26"/>
    </row>
    <row r="1600">
      <c r="A1600" s="42"/>
      <c r="B1600" s="35"/>
      <c r="H1600" s="43"/>
      <c r="I1600" s="44"/>
      <c r="M1600" s="26"/>
    </row>
    <row r="1601">
      <c r="A1601" s="42"/>
      <c r="B1601" s="35"/>
      <c r="H1601" s="43"/>
      <c r="I1601" s="44"/>
      <c r="M1601" s="26"/>
    </row>
    <row r="1602">
      <c r="A1602" s="42"/>
      <c r="B1602" s="35"/>
      <c r="H1602" s="43"/>
      <c r="I1602" s="44"/>
      <c r="M1602" s="26"/>
    </row>
    <row r="1603">
      <c r="A1603" s="42"/>
      <c r="B1603" s="35"/>
      <c r="H1603" s="43"/>
      <c r="I1603" s="44"/>
      <c r="M1603" s="26"/>
    </row>
    <row r="1604">
      <c r="A1604" s="42"/>
      <c r="B1604" s="35"/>
      <c r="H1604" s="43"/>
      <c r="I1604" s="44"/>
      <c r="M1604" s="26"/>
    </row>
    <row r="1605">
      <c r="A1605" s="42"/>
      <c r="B1605" s="35"/>
      <c r="H1605" s="43"/>
      <c r="I1605" s="44"/>
      <c r="M1605" s="26"/>
    </row>
    <row r="1606">
      <c r="A1606" s="42"/>
      <c r="B1606" s="35"/>
      <c r="H1606" s="43"/>
      <c r="I1606" s="44"/>
      <c r="M1606" s="26"/>
    </row>
    <row r="1607">
      <c r="A1607" s="42"/>
      <c r="B1607" s="35"/>
      <c r="H1607" s="43"/>
      <c r="I1607" s="44"/>
      <c r="M1607" s="26"/>
    </row>
    <row r="1608">
      <c r="A1608" s="42"/>
      <c r="B1608" s="35"/>
      <c r="H1608" s="43"/>
      <c r="I1608" s="44"/>
      <c r="M1608" s="26"/>
    </row>
    <row r="1609">
      <c r="A1609" s="42"/>
      <c r="B1609" s="35"/>
      <c r="H1609" s="43"/>
      <c r="I1609" s="44"/>
      <c r="M1609" s="26"/>
    </row>
    <row r="1610">
      <c r="A1610" s="42"/>
      <c r="B1610" s="35"/>
      <c r="H1610" s="43"/>
      <c r="I1610" s="44"/>
      <c r="M1610" s="26"/>
    </row>
    <row r="1611">
      <c r="A1611" s="42"/>
      <c r="B1611" s="35"/>
      <c r="H1611" s="43"/>
      <c r="I1611" s="44"/>
      <c r="M1611" s="26"/>
    </row>
    <row r="1612">
      <c r="A1612" s="42"/>
      <c r="B1612" s="35"/>
      <c r="H1612" s="43"/>
      <c r="I1612" s="44"/>
      <c r="M1612" s="26"/>
    </row>
    <row r="1613">
      <c r="A1613" s="42"/>
      <c r="B1613" s="35"/>
      <c r="H1613" s="43"/>
      <c r="I1613" s="44"/>
      <c r="M1613" s="26"/>
    </row>
    <row r="1614">
      <c r="A1614" s="42"/>
      <c r="B1614" s="35"/>
      <c r="H1614" s="43"/>
      <c r="I1614" s="44"/>
      <c r="M1614" s="26"/>
    </row>
    <row r="1615">
      <c r="A1615" s="42"/>
      <c r="B1615" s="35"/>
      <c r="H1615" s="43"/>
      <c r="I1615" s="44"/>
      <c r="M1615" s="26"/>
    </row>
    <row r="1616">
      <c r="A1616" s="42"/>
      <c r="B1616" s="35"/>
      <c r="H1616" s="43"/>
      <c r="I1616" s="44"/>
      <c r="M1616" s="26"/>
    </row>
    <row r="1617">
      <c r="A1617" s="42"/>
      <c r="B1617" s="35"/>
      <c r="H1617" s="43"/>
      <c r="I1617" s="44"/>
      <c r="M1617" s="26"/>
    </row>
    <row r="1618">
      <c r="A1618" s="42"/>
      <c r="B1618" s="35"/>
      <c r="H1618" s="43"/>
      <c r="I1618" s="44"/>
      <c r="M1618" s="26"/>
    </row>
    <row r="1619">
      <c r="A1619" s="42"/>
      <c r="B1619" s="35"/>
      <c r="H1619" s="43"/>
      <c r="I1619" s="44"/>
      <c r="M1619" s="26"/>
    </row>
    <row r="1620">
      <c r="A1620" s="42"/>
      <c r="B1620" s="35"/>
      <c r="H1620" s="43"/>
      <c r="I1620" s="44"/>
      <c r="M1620" s="26"/>
    </row>
    <row r="1621">
      <c r="A1621" s="42"/>
      <c r="B1621" s="35"/>
      <c r="H1621" s="43"/>
      <c r="I1621" s="44"/>
      <c r="M1621" s="26"/>
    </row>
    <row r="1622">
      <c r="A1622" s="42"/>
      <c r="B1622" s="35"/>
      <c r="H1622" s="43"/>
      <c r="I1622" s="44"/>
      <c r="M1622" s="26"/>
    </row>
    <row r="1623">
      <c r="A1623" s="42"/>
      <c r="B1623" s="35"/>
      <c r="H1623" s="43"/>
      <c r="I1623" s="44"/>
      <c r="M1623" s="26"/>
    </row>
    <row r="1624">
      <c r="A1624" s="42"/>
      <c r="B1624" s="35"/>
      <c r="H1624" s="43"/>
      <c r="I1624" s="44"/>
      <c r="M1624" s="26"/>
    </row>
    <row r="1625">
      <c r="A1625" s="42"/>
      <c r="B1625" s="35"/>
      <c r="H1625" s="43"/>
      <c r="I1625" s="44"/>
      <c r="M1625" s="26"/>
    </row>
    <row r="1626">
      <c r="A1626" s="42"/>
      <c r="B1626" s="35"/>
      <c r="H1626" s="43"/>
      <c r="I1626" s="44"/>
      <c r="M1626" s="26"/>
    </row>
    <row r="1627">
      <c r="A1627" s="42"/>
      <c r="B1627" s="35"/>
      <c r="H1627" s="43"/>
      <c r="I1627" s="44"/>
      <c r="M1627" s="26"/>
    </row>
    <row r="1628">
      <c r="A1628" s="42"/>
      <c r="B1628" s="35"/>
      <c r="H1628" s="43"/>
      <c r="I1628" s="44"/>
      <c r="M1628" s="26"/>
    </row>
    <row r="1629">
      <c r="A1629" s="42"/>
      <c r="B1629" s="35"/>
      <c r="H1629" s="43"/>
      <c r="I1629" s="44"/>
      <c r="M1629" s="26"/>
    </row>
    <row r="1630">
      <c r="A1630" s="42"/>
      <c r="B1630" s="35"/>
      <c r="H1630" s="43"/>
      <c r="I1630" s="44"/>
      <c r="M1630" s="26"/>
    </row>
    <row r="1631">
      <c r="A1631" s="42"/>
      <c r="B1631" s="35"/>
      <c r="H1631" s="43"/>
      <c r="I1631" s="44"/>
      <c r="M1631" s="26"/>
    </row>
    <row r="1632">
      <c r="A1632" s="42"/>
      <c r="B1632" s="35"/>
      <c r="H1632" s="43"/>
      <c r="I1632" s="44"/>
      <c r="M1632" s="26"/>
    </row>
    <row r="1633">
      <c r="A1633" s="42"/>
      <c r="B1633" s="35"/>
      <c r="H1633" s="43"/>
      <c r="I1633" s="44"/>
      <c r="M1633" s="26"/>
    </row>
    <row r="1634">
      <c r="A1634" s="42"/>
      <c r="B1634" s="35"/>
      <c r="H1634" s="43"/>
      <c r="I1634" s="44"/>
      <c r="M1634" s="26"/>
    </row>
    <row r="1635">
      <c r="A1635" s="42"/>
      <c r="B1635" s="35"/>
      <c r="H1635" s="43"/>
      <c r="I1635" s="44"/>
      <c r="M1635" s="26"/>
    </row>
    <row r="1636">
      <c r="A1636" s="42"/>
      <c r="B1636" s="35"/>
      <c r="H1636" s="43"/>
      <c r="I1636" s="44"/>
      <c r="M1636" s="26"/>
    </row>
    <row r="1637">
      <c r="A1637" s="42"/>
      <c r="B1637" s="35"/>
      <c r="H1637" s="43"/>
      <c r="I1637" s="44"/>
      <c r="M1637" s="26"/>
    </row>
    <row r="1638">
      <c r="A1638" s="42"/>
      <c r="B1638" s="35"/>
      <c r="H1638" s="43"/>
      <c r="I1638" s="44"/>
      <c r="M1638" s="26"/>
    </row>
    <row r="1639">
      <c r="A1639" s="42"/>
      <c r="B1639" s="35"/>
      <c r="H1639" s="43"/>
      <c r="I1639" s="44"/>
      <c r="M1639" s="26"/>
    </row>
    <row r="1640">
      <c r="A1640" s="42"/>
      <c r="B1640" s="35"/>
      <c r="H1640" s="43"/>
      <c r="I1640" s="44"/>
      <c r="M1640" s="26"/>
    </row>
    <row r="1641">
      <c r="A1641" s="42"/>
      <c r="B1641" s="35"/>
      <c r="H1641" s="43"/>
      <c r="I1641" s="44"/>
      <c r="M1641" s="26"/>
    </row>
    <row r="1642">
      <c r="A1642" s="42"/>
      <c r="B1642" s="35"/>
      <c r="H1642" s="43"/>
      <c r="I1642" s="44"/>
      <c r="M1642" s="26"/>
    </row>
    <row r="1643">
      <c r="A1643" s="42"/>
      <c r="B1643" s="35"/>
      <c r="H1643" s="43"/>
      <c r="I1643" s="44"/>
      <c r="M1643" s="26"/>
    </row>
    <row r="1644">
      <c r="A1644" s="42"/>
      <c r="B1644" s="35"/>
      <c r="H1644" s="43"/>
      <c r="I1644" s="44"/>
      <c r="M1644" s="26"/>
    </row>
    <row r="1645">
      <c r="A1645" s="42"/>
      <c r="B1645" s="35"/>
      <c r="H1645" s="43"/>
      <c r="I1645" s="44"/>
      <c r="M1645" s="26"/>
    </row>
    <row r="1646">
      <c r="A1646" s="42"/>
      <c r="B1646" s="35"/>
      <c r="H1646" s="43"/>
      <c r="I1646" s="44"/>
      <c r="M1646" s="26"/>
    </row>
    <row r="1647">
      <c r="A1647" s="42"/>
      <c r="B1647" s="35"/>
      <c r="H1647" s="43"/>
      <c r="I1647" s="44"/>
      <c r="M1647" s="26"/>
    </row>
    <row r="1648">
      <c r="A1648" s="42"/>
      <c r="B1648" s="35"/>
      <c r="H1648" s="43"/>
      <c r="I1648" s="44"/>
      <c r="M1648" s="26"/>
    </row>
    <row r="1649">
      <c r="A1649" s="42"/>
      <c r="B1649" s="35"/>
      <c r="H1649" s="43"/>
      <c r="I1649" s="44"/>
      <c r="M1649" s="26"/>
    </row>
    <row r="1650">
      <c r="A1650" s="42"/>
      <c r="B1650" s="35"/>
      <c r="H1650" s="43"/>
      <c r="I1650" s="44"/>
      <c r="M1650" s="26"/>
    </row>
    <row r="1651">
      <c r="A1651" s="42"/>
      <c r="B1651" s="35"/>
      <c r="H1651" s="43"/>
      <c r="I1651" s="44"/>
      <c r="M1651" s="26"/>
    </row>
    <row r="1652">
      <c r="A1652" s="42"/>
      <c r="B1652" s="35"/>
      <c r="H1652" s="43"/>
      <c r="I1652" s="44"/>
      <c r="M1652" s="26"/>
    </row>
    <row r="1653">
      <c r="A1653" s="42"/>
      <c r="B1653" s="35"/>
      <c r="H1653" s="43"/>
      <c r="I1653" s="44"/>
      <c r="M1653" s="26"/>
    </row>
    <row r="1654">
      <c r="A1654" s="42"/>
      <c r="B1654" s="35"/>
      <c r="H1654" s="43"/>
      <c r="I1654" s="44"/>
      <c r="M1654" s="26"/>
    </row>
    <row r="1655">
      <c r="A1655" s="42"/>
      <c r="B1655" s="35"/>
      <c r="H1655" s="43"/>
      <c r="I1655" s="44"/>
      <c r="M1655" s="26"/>
    </row>
    <row r="1656">
      <c r="A1656" s="42"/>
      <c r="B1656" s="35"/>
      <c r="H1656" s="43"/>
      <c r="I1656" s="44"/>
      <c r="M1656" s="26"/>
    </row>
    <row r="1657">
      <c r="A1657" s="42"/>
      <c r="B1657" s="35"/>
      <c r="H1657" s="43"/>
      <c r="I1657" s="44"/>
      <c r="M1657" s="26"/>
    </row>
    <row r="1658">
      <c r="A1658" s="42"/>
      <c r="B1658" s="35"/>
      <c r="H1658" s="43"/>
      <c r="I1658" s="44"/>
      <c r="M1658" s="26"/>
    </row>
    <row r="1659">
      <c r="A1659" s="42"/>
      <c r="B1659" s="35"/>
      <c r="H1659" s="43"/>
      <c r="I1659" s="44"/>
      <c r="M1659" s="26"/>
    </row>
    <row r="1660">
      <c r="A1660" s="42"/>
      <c r="B1660" s="35"/>
      <c r="H1660" s="43"/>
      <c r="I1660" s="44"/>
      <c r="M1660" s="26"/>
    </row>
    <row r="1661">
      <c r="A1661" s="42"/>
      <c r="B1661" s="35"/>
      <c r="H1661" s="43"/>
      <c r="I1661" s="44"/>
      <c r="M1661" s="26"/>
    </row>
    <row r="1662">
      <c r="A1662" s="42"/>
      <c r="B1662" s="35"/>
      <c r="H1662" s="43"/>
      <c r="I1662" s="44"/>
      <c r="M1662" s="26"/>
    </row>
    <row r="1663">
      <c r="A1663" s="42"/>
      <c r="B1663" s="35"/>
      <c r="H1663" s="43"/>
      <c r="I1663" s="44"/>
      <c r="M1663" s="26"/>
    </row>
    <row r="1664">
      <c r="A1664" s="42"/>
      <c r="B1664" s="35"/>
      <c r="H1664" s="43"/>
      <c r="I1664" s="44"/>
      <c r="M1664" s="26"/>
    </row>
    <row r="1665">
      <c r="A1665" s="42"/>
      <c r="B1665" s="35"/>
      <c r="H1665" s="43"/>
      <c r="I1665" s="44"/>
      <c r="M1665" s="26"/>
    </row>
    <row r="1666">
      <c r="A1666" s="42"/>
      <c r="B1666" s="35"/>
      <c r="H1666" s="43"/>
      <c r="I1666" s="44"/>
      <c r="M1666" s="26"/>
    </row>
    <row r="1667">
      <c r="A1667" s="42"/>
      <c r="B1667" s="35"/>
      <c r="H1667" s="43"/>
      <c r="I1667" s="44"/>
      <c r="M1667" s="26"/>
    </row>
    <row r="1668">
      <c r="A1668" s="42"/>
      <c r="B1668" s="35"/>
      <c r="H1668" s="43"/>
      <c r="I1668" s="44"/>
      <c r="M1668" s="26"/>
    </row>
    <row r="1669">
      <c r="A1669" s="42"/>
      <c r="B1669" s="35"/>
      <c r="H1669" s="43"/>
      <c r="I1669" s="44"/>
      <c r="M1669" s="26"/>
    </row>
    <row r="1670">
      <c r="A1670" s="42"/>
      <c r="B1670" s="35"/>
      <c r="H1670" s="43"/>
      <c r="I1670" s="44"/>
      <c r="M1670" s="26"/>
    </row>
    <row r="1671">
      <c r="A1671" s="42"/>
      <c r="B1671" s="35"/>
      <c r="H1671" s="43"/>
      <c r="I1671" s="44"/>
      <c r="M1671" s="26"/>
    </row>
    <row r="1672">
      <c r="A1672" s="42"/>
      <c r="B1672" s="35"/>
      <c r="H1672" s="43"/>
      <c r="I1672" s="44"/>
      <c r="M1672" s="26"/>
    </row>
    <row r="1673">
      <c r="A1673" s="42"/>
      <c r="B1673" s="35"/>
      <c r="H1673" s="43"/>
      <c r="I1673" s="44"/>
      <c r="M1673" s="26"/>
    </row>
    <row r="1674">
      <c r="A1674" s="42"/>
      <c r="B1674" s="35"/>
      <c r="H1674" s="43"/>
      <c r="I1674" s="44"/>
      <c r="M1674" s="26"/>
    </row>
    <row r="1675">
      <c r="A1675" s="42"/>
      <c r="B1675" s="35"/>
      <c r="H1675" s="43"/>
      <c r="I1675" s="44"/>
      <c r="M1675" s="26"/>
    </row>
    <row r="1676">
      <c r="A1676" s="42"/>
      <c r="B1676" s="35"/>
      <c r="H1676" s="43"/>
      <c r="I1676" s="44"/>
      <c r="M1676" s="26"/>
    </row>
    <row r="1677">
      <c r="A1677" s="42"/>
      <c r="B1677" s="35"/>
      <c r="H1677" s="43"/>
      <c r="I1677" s="44"/>
      <c r="M1677" s="26"/>
    </row>
    <row r="1678">
      <c r="A1678" s="42"/>
      <c r="B1678" s="35"/>
      <c r="H1678" s="43"/>
      <c r="I1678" s="44"/>
      <c r="M1678" s="26"/>
    </row>
    <row r="1679">
      <c r="A1679" s="42"/>
      <c r="B1679" s="35"/>
      <c r="H1679" s="43"/>
      <c r="I1679" s="44"/>
      <c r="M1679" s="26"/>
    </row>
    <row r="1680">
      <c r="A1680" s="42"/>
      <c r="B1680" s="35"/>
      <c r="H1680" s="43"/>
      <c r="I1680" s="44"/>
      <c r="M1680" s="26"/>
    </row>
    <row r="1681">
      <c r="A1681" s="42"/>
      <c r="B1681" s="35"/>
      <c r="H1681" s="43"/>
      <c r="I1681" s="44"/>
      <c r="M1681" s="26"/>
    </row>
    <row r="1682">
      <c r="A1682" s="42"/>
      <c r="B1682" s="35"/>
      <c r="H1682" s="43"/>
      <c r="I1682" s="44"/>
      <c r="M1682" s="26"/>
    </row>
    <row r="1683">
      <c r="A1683" s="42"/>
      <c r="B1683" s="35"/>
      <c r="H1683" s="43"/>
      <c r="I1683" s="44"/>
      <c r="M1683" s="26"/>
    </row>
    <row r="1684">
      <c r="A1684" s="42"/>
      <c r="B1684" s="35"/>
      <c r="H1684" s="43"/>
      <c r="I1684" s="44"/>
      <c r="M1684" s="26"/>
    </row>
    <row r="1685">
      <c r="A1685" s="42"/>
      <c r="B1685" s="35"/>
      <c r="H1685" s="43"/>
      <c r="I1685" s="44"/>
      <c r="M1685" s="26"/>
    </row>
    <row r="1686">
      <c r="A1686" s="42"/>
      <c r="B1686" s="35"/>
      <c r="H1686" s="43"/>
      <c r="I1686" s="44"/>
      <c r="M1686" s="26"/>
    </row>
    <row r="1687">
      <c r="A1687" s="42"/>
      <c r="B1687" s="35"/>
      <c r="H1687" s="43"/>
      <c r="I1687" s="44"/>
      <c r="M1687" s="26"/>
    </row>
    <row r="1688">
      <c r="A1688" s="42"/>
      <c r="B1688" s="35"/>
      <c r="H1688" s="43"/>
      <c r="I1688" s="44"/>
      <c r="M1688" s="26"/>
    </row>
    <row r="1689">
      <c r="A1689" s="42"/>
      <c r="B1689" s="35"/>
      <c r="H1689" s="43"/>
      <c r="I1689" s="44"/>
      <c r="M1689" s="26"/>
    </row>
    <row r="1690">
      <c r="A1690" s="42"/>
      <c r="B1690" s="35"/>
      <c r="H1690" s="43"/>
      <c r="I1690" s="44"/>
      <c r="M1690" s="26"/>
    </row>
    <row r="1691">
      <c r="A1691" s="42"/>
      <c r="B1691" s="35"/>
      <c r="H1691" s="43"/>
      <c r="I1691" s="44"/>
      <c r="M1691" s="26"/>
    </row>
    <row r="1692">
      <c r="A1692" s="42"/>
      <c r="B1692" s="35"/>
      <c r="H1692" s="43"/>
      <c r="I1692" s="44"/>
      <c r="M1692" s="26"/>
    </row>
    <row r="1693">
      <c r="A1693" s="42"/>
      <c r="B1693" s="35"/>
      <c r="H1693" s="43"/>
      <c r="I1693" s="44"/>
      <c r="M1693" s="26"/>
    </row>
    <row r="1694">
      <c r="A1694" s="42"/>
      <c r="B1694" s="35"/>
      <c r="H1694" s="43"/>
      <c r="I1694" s="44"/>
      <c r="M1694" s="26"/>
    </row>
    <row r="1695">
      <c r="A1695" s="42"/>
      <c r="B1695" s="35"/>
      <c r="H1695" s="43"/>
      <c r="I1695" s="44"/>
      <c r="M1695" s="26"/>
    </row>
    <row r="1696">
      <c r="A1696" s="42"/>
      <c r="B1696" s="35"/>
      <c r="H1696" s="43"/>
      <c r="I1696" s="44"/>
      <c r="M1696" s="26"/>
    </row>
    <row r="1697">
      <c r="A1697" s="42"/>
      <c r="B1697" s="35"/>
      <c r="H1697" s="43"/>
      <c r="I1697" s="44"/>
      <c r="M1697" s="26"/>
    </row>
    <row r="1698">
      <c r="A1698" s="42"/>
      <c r="B1698" s="35"/>
      <c r="H1698" s="43"/>
      <c r="I1698" s="44"/>
      <c r="M1698" s="26"/>
    </row>
    <row r="1699">
      <c r="A1699" s="42"/>
      <c r="B1699" s="35"/>
      <c r="H1699" s="43"/>
      <c r="I1699" s="44"/>
      <c r="M1699" s="26"/>
    </row>
    <row r="1700">
      <c r="A1700" s="42"/>
      <c r="B1700" s="35"/>
      <c r="H1700" s="43"/>
      <c r="I1700" s="44"/>
      <c r="M1700" s="26"/>
    </row>
    <row r="1701">
      <c r="A1701" s="42"/>
      <c r="B1701" s="35"/>
      <c r="H1701" s="43"/>
      <c r="I1701" s="44"/>
      <c r="M1701" s="26"/>
    </row>
    <row r="1702">
      <c r="A1702" s="42"/>
      <c r="B1702" s="35"/>
      <c r="H1702" s="43"/>
      <c r="I1702" s="44"/>
      <c r="M1702" s="26"/>
    </row>
    <row r="1703">
      <c r="A1703" s="42"/>
      <c r="B1703" s="35"/>
      <c r="H1703" s="43"/>
      <c r="I1703" s="44"/>
      <c r="M1703" s="26"/>
    </row>
    <row r="1704">
      <c r="A1704" s="42"/>
      <c r="B1704" s="35"/>
      <c r="H1704" s="43"/>
      <c r="I1704" s="44"/>
      <c r="M1704" s="26"/>
    </row>
    <row r="1705">
      <c r="A1705" s="42"/>
      <c r="B1705" s="35"/>
      <c r="H1705" s="43"/>
      <c r="I1705" s="44"/>
      <c r="M1705" s="26"/>
    </row>
    <row r="1706">
      <c r="A1706" s="42"/>
      <c r="B1706" s="35"/>
      <c r="H1706" s="43"/>
      <c r="I1706" s="44"/>
      <c r="M1706" s="26"/>
    </row>
    <row r="1707">
      <c r="A1707" s="42"/>
      <c r="B1707" s="35"/>
      <c r="H1707" s="43"/>
      <c r="I1707" s="44"/>
      <c r="M1707" s="26"/>
    </row>
    <row r="1708">
      <c r="A1708" s="42"/>
      <c r="B1708" s="35"/>
      <c r="H1708" s="43"/>
      <c r="I1708" s="44"/>
      <c r="M1708" s="26"/>
    </row>
    <row r="1709">
      <c r="A1709" s="42"/>
      <c r="B1709" s="35"/>
      <c r="H1709" s="43"/>
      <c r="I1709" s="44"/>
      <c r="M1709" s="26"/>
    </row>
    <row r="1710">
      <c r="A1710" s="42"/>
      <c r="B1710" s="35"/>
      <c r="H1710" s="43"/>
      <c r="I1710" s="44"/>
      <c r="M1710" s="26"/>
    </row>
    <row r="1711">
      <c r="A1711" s="42"/>
      <c r="B1711" s="35"/>
      <c r="H1711" s="43"/>
      <c r="I1711" s="44"/>
      <c r="M1711" s="26"/>
    </row>
    <row r="1712">
      <c r="A1712" s="42"/>
      <c r="B1712" s="35"/>
      <c r="H1712" s="43"/>
      <c r="I1712" s="44"/>
      <c r="M1712" s="26"/>
    </row>
    <row r="1713">
      <c r="A1713" s="42"/>
      <c r="B1713" s="35"/>
      <c r="H1713" s="43"/>
      <c r="I1713" s="44"/>
      <c r="M1713" s="26"/>
    </row>
    <row r="1714">
      <c r="A1714" s="42"/>
      <c r="B1714" s="35"/>
      <c r="H1714" s="43"/>
      <c r="I1714" s="44"/>
      <c r="M1714" s="26"/>
    </row>
    <row r="1715">
      <c r="A1715" s="42"/>
      <c r="B1715" s="35"/>
      <c r="H1715" s="43"/>
      <c r="I1715" s="44"/>
      <c r="M1715" s="26"/>
    </row>
    <row r="1716">
      <c r="A1716" s="42"/>
      <c r="B1716" s="35"/>
      <c r="H1716" s="43"/>
      <c r="I1716" s="44"/>
      <c r="M1716" s="26"/>
    </row>
    <row r="1717">
      <c r="A1717" s="42"/>
      <c r="B1717" s="35"/>
      <c r="H1717" s="43"/>
      <c r="I1717" s="44"/>
      <c r="M1717" s="26"/>
    </row>
    <row r="1718">
      <c r="A1718" s="42"/>
      <c r="B1718" s="35"/>
      <c r="H1718" s="43"/>
      <c r="I1718" s="44"/>
      <c r="M1718" s="26"/>
    </row>
    <row r="1719">
      <c r="A1719" s="42"/>
      <c r="B1719" s="35"/>
      <c r="H1719" s="43"/>
      <c r="I1719" s="44"/>
      <c r="M1719" s="26"/>
    </row>
    <row r="1720">
      <c r="A1720" s="42"/>
      <c r="B1720" s="35"/>
      <c r="H1720" s="43"/>
      <c r="I1720" s="44"/>
      <c r="M1720" s="26"/>
    </row>
    <row r="1721">
      <c r="A1721" s="42"/>
      <c r="B1721" s="35"/>
      <c r="H1721" s="43"/>
      <c r="I1721" s="44"/>
      <c r="M1721" s="26"/>
    </row>
    <row r="1722">
      <c r="A1722" s="42"/>
      <c r="B1722" s="35"/>
      <c r="H1722" s="43"/>
      <c r="I1722" s="44"/>
      <c r="M1722" s="26"/>
    </row>
    <row r="1723">
      <c r="A1723" s="42"/>
      <c r="B1723" s="35"/>
      <c r="H1723" s="43"/>
      <c r="I1723" s="44"/>
      <c r="M1723" s="26"/>
    </row>
    <row r="1724">
      <c r="A1724" s="42"/>
      <c r="B1724" s="35"/>
      <c r="H1724" s="43"/>
      <c r="I1724" s="44"/>
      <c r="M1724" s="26"/>
    </row>
    <row r="1725">
      <c r="A1725" s="42"/>
      <c r="B1725" s="35"/>
      <c r="H1725" s="43"/>
      <c r="I1725" s="44"/>
      <c r="M1725" s="26"/>
    </row>
    <row r="1726">
      <c r="A1726" s="42"/>
      <c r="B1726" s="35"/>
      <c r="H1726" s="43"/>
      <c r="I1726" s="44"/>
      <c r="M1726" s="26"/>
    </row>
    <row r="1727">
      <c r="A1727" s="42"/>
      <c r="B1727" s="35"/>
      <c r="H1727" s="43"/>
      <c r="I1727" s="44"/>
      <c r="M1727" s="26"/>
    </row>
    <row r="1728">
      <c r="A1728" s="42"/>
      <c r="B1728" s="35"/>
      <c r="H1728" s="43"/>
      <c r="I1728" s="44"/>
      <c r="M1728" s="26"/>
    </row>
    <row r="1729">
      <c r="A1729" s="42"/>
      <c r="B1729" s="35"/>
      <c r="H1729" s="43"/>
      <c r="I1729" s="44"/>
      <c r="M1729" s="26"/>
    </row>
    <row r="1730">
      <c r="A1730" s="42"/>
      <c r="B1730" s="35"/>
      <c r="H1730" s="43"/>
      <c r="I1730" s="44"/>
      <c r="M1730" s="26"/>
    </row>
    <row r="1731">
      <c r="A1731" s="42"/>
      <c r="B1731" s="35"/>
      <c r="H1731" s="43"/>
      <c r="I1731" s="44"/>
      <c r="M1731" s="26"/>
    </row>
    <row r="1732">
      <c r="A1732" s="42"/>
      <c r="B1732" s="35"/>
      <c r="H1732" s="43"/>
      <c r="I1732" s="44"/>
      <c r="M1732" s="26"/>
    </row>
    <row r="1733">
      <c r="A1733" s="42"/>
      <c r="B1733" s="35"/>
      <c r="H1733" s="43"/>
      <c r="I1733" s="44"/>
      <c r="M1733" s="26"/>
    </row>
    <row r="1734">
      <c r="A1734" s="42"/>
      <c r="B1734" s="35"/>
      <c r="H1734" s="43"/>
      <c r="I1734" s="44"/>
      <c r="M1734" s="26"/>
    </row>
    <row r="1735">
      <c r="A1735" s="42"/>
      <c r="B1735" s="35"/>
      <c r="H1735" s="43"/>
      <c r="I1735" s="44"/>
      <c r="M1735" s="26"/>
    </row>
    <row r="1736">
      <c r="A1736" s="42"/>
      <c r="B1736" s="35"/>
      <c r="H1736" s="43"/>
      <c r="I1736" s="44"/>
      <c r="M1736" s="26"/>
    </row>
    <row r="1737">
      <c r="A1737" s="42"/>
      <c r="B1737" s="35"/>
      <c r="H1737" s="43"/>
      <c r="I1737" s="44"/>
      <c r="M1737" s="26"/>
    </row>
    <row r="1738">
      <c r="A1738" s="42"/>
      <c r="B1738" s="35"/>
      <c r="H1738" s="43"/>
      <c r="I1738" s="44"/>
      <c r="M1738" s="26"/>
    </row>
    <row r="1739">
      <c r="A1739" s="42"/>
      <c r="B1739" s="35"/>
      <c r="H1739" s="43"/>
      <c r="I1739" s="44"/>
      <c r="M1739" s="26"/>
    </row>
    <row r="1740">
      <c r="A1740" s="42"/>
      <c r="B1740" s="35"/>
      <c r="H1740" s="43"/>
      <c r="I1740" s="44"/>
      <c r="M1740" s="26"/>
    </row>
    <row r="1741">
      <c r="A1741" s="42"/>
      <c r="B1741" s="35"/>
      <c r="H1741" s="43"/>
      <c r="I1741" s="44"/>
      <c r="M1741" s="26"/>
    </row>
    <row r="1742">
      <c r="A1742" s="42"/>
      <c r="B1742" s="35"/>
      <c r="H1742" s="43"/>
      <c r="I1742" s="44"/>
      <c r="M1742" s="26"/>
    </row>
    <row r="1743">
      <c r="A1743" s="42"/>
      <c r="B1743" s="35"/>
      <c r="H1743" s="43"/>
      <c r="I1743" s="44"/>
      <c r="M1743" s="26"/>
    </row>
    <row r="1744">
      <c r="A1744" s="42"/>
      <c r="B1744" s="35"/>
      <c r="H1744" s="43"/>
      <c r="I1744" s="44"/>
      <c r="M1744" s="26"/>
    </row>
    <row r="1745">
      <c r="A1745" s="42"/>
      <c r="B1745" s="35"/>
      <c r="H1745" s="43"/>
      <c r="I1745" s="44"/>
      <c r="M1745" s="26"/>
    </row>
    <row r="1746">
      <c r="A1746" s="42"/>
      <c r="B1746" s="35"/>
      <c r="H1746" s="43"/>
      <c r="I1746" s="44"/>
      <c r="M1746" s="26"/>
    </row>
    <row r="1747">
      <c r="A1747" s="42"/>
      <c r="B1747" s="35"/>
      <c r="H1747" s="43"/>
      <c r="I1747" s="44"/>
      <c r="M1747" s="26"/>
    </row>
    <row r="1748">
      <c r="A1748" s="42"/>
      <c r="B1748" s="35"/>
      <c r="H1748" s="43"/>
      <c r="I1748" s="44"/>
      <c r="M1748" s="26"/>
    </row>
    <row r="1749">
      <c r="A1749" s="42"/>
      <c r="B1749" s="35"/>
      <c r="H1749" s="43"/>
      <c r="I1749" s="44"/>
      <c r="M1749" s="26"/>
    </row>
    <row r="1750">
      <c r="A1750" s="42"/>
      <c r="B1750" s="35"/>
      <c r="H1750" s="43"/>
      <c r="I1750" s="44"/>
      <c r="M1750" s="26"/>
    </row>
    <row r="1751">
      <c r="A1751" s="42"/>
      <c r="B1751" s="35"/>
      <c r="H1751" s="43"/>
      <c r="I1751" s="44"/>
      <c r="M1751" s="26"/>
    </row>
    <row r="1752">
      <c r="A1752" s="42"/>
      <c r="B1752" s="35"/>
      <c r="H1752" s="43"/>
      <c r="I1752" s="44"/>
      <c r="M1752" s="26"/>
    </row>
    <row r="1753">
      <c r="A1753" s="42"/>
      <c r="B1753" s="35"/>
      <c r="H1753" s="43"/>
      <c r="I1753" s="44"/>
      <c r="M1753" s="26"/>
    </row>
    <row r="1754">
      <c r="A1754" s="42"/>
      <c r="B1754" s="35"/>
      <c r="H1754" s="43"/>
      <c r="I1754" s="44"/>
      <c r="M1754" s="26"/>
    </row>
    <row r="1755">
      <c r="A1755" s="42"/>
      <c r="B1755" s="35"/>
      <c r="H1755" s="43"/>
      <c r="I1755" s="44"/>
      <c r="M1755" s="26"/>
    </row>
    <row r="1756">
      <c r="A1756" s="42"/>
      <c r="B1756" s="35"/>
      <c r="H1756" s="43"/>
      <c r="I1756" s="44"/>
      <c r="M1756" s="26"/>
    </row>
    <row r="1757">
      <c r="A1757" s="42"/>
      <c r="B1757" s="35"/>
      <c r="H1757" s="43"/>
      <c r="I1757" s="44"/>
      <c r="M1757" s="26"/>
    </row>
    <row r="1758">
      <c r="A1758" s="42"/>
      <c r="B1758" s="35"/>
      <c r="H1758" s="43"/>
      <c r="I1758" s="44"/>
      <c r="M1758" s="26"/>
    </row>
    <row r="1759">
      <c r="A1759" s="42"/>
      <c r="B1759" s="35"/>
      <c r="H1759" s="43"/>
      <c r="I1759" s="44"/>
      <c r="M1759" s="26"/>
    </row>
    <row r="1760">
      <c r="A1760" s="42"/>
      <c r="B1760" s="35"/>
      <c r="H1760" s="43"/>
      <c r="I1760" s="44"/>
      <c r="M1760" s="26"/>
    </row>
    <row r="1761">
      <c r="A1761" s="42"/>
      <c r="B1761" s="35"/>
      <c r="H1761" s="43"/>
      <c r="I1761" s="44"/>
      <c r="M1761" s="26"/>
    </row>
    <row r="1762">
      <c r="A1762" s="42"/>
      <c r="B1762" s="35"/>
      <c r="H1762" s="43"/>
      <c r="I1762" s="44"/>
      <c r="M1762" s="26"/>
    </row>
    <row r="1763">
      <c r="A1763" s="42"/>
      <c r="B1763" s="35"/>
      <c r="H1763" s="43"/>
      <c r="I1763" s="44"/>
      <c r="M1763" s="26"/>
    </row>
    <row r="1764">
      <c r="A1764" s="42"/>
      <c r="B1764" s="35"/>
      <c r="H1764" s="43"/>
      <c r="I1764" s="44"/>
      <c r="M1764" s="26"/>
    </row>
    <row r="1765">
      <c r="A1765" s="42"/>
      <c r="B1765" s="35"/>
      <c r="H1765" s="43"/>
      <c r="I1765" s="44"/>
      <c r="M1765" s="26"/>
    </row>
    <row r="1766">
      <c r="A1766" s="42"/>
      <c r="B1766" s="35"/>
      <c r="H1766" s="43"/>
      <c r="I1766" s="44"/>
      <c r="M1766" s="26"/>
    </row>
    <row r="1767">
      <c r="A1767" s="42"/>
      <c r="B1767" s="35"/>
      <c r="H1767" s="43"/>
      <c r="I1767" s="44"/>
      <c r="M1767" s="26"/>
    </row>
    <row r="1768">
      <c r="A1768" s="42"/>
      <c r="B1768" s="35"/>
      <c r="H1768" s="43"/>
      <c r="I1768" s="44"/>
      <c r="M1768" s="26"/>
    </row>
    <row r="1769">
      <c r="A1769" s="42"/>
      <c r="B1769" s="35"/>
      <c r="H1769" s="43"/>
      <c r="I1769" s="44"/>
      <c r="M1769" s="26"/>
    </row>
    <row r="1770">
      <c r="A1770" s="42"/>
      <c r="B1770" s="35"/>
      <c r="H1770" s="43"/>
      <c r="I1770" s="44"/>
      <c r="M1770" s="26"/>
    </row>
    <row r="1771">
      <c r="A1771" s="42"/>
      <c r="B1771" s="35"/>
      <c r="H1771" s="43"/>
      <c r="I1771" s="44"/>
      <c r="M1771" s="26"/>
    </row>
    <row r="1772">
      <c r="A1772" s="42"/>
      <c r="B1772" s="35"/>
      <c r="H1772" s="43"/>
      <c r="I1772" s="44"/>
      <c r="M1772" s="26"/>
    </row>
    <row r="1773">
      <c r="A1773" s="42"/>
      <c r="B1773" s="35"/>
      <c r="H1773" s="43"/>
      <c r="I1773" s="44"/>
      <c r="M1773" s="26"/>
    </row>
    <row r="1774">
      <c r="A1774" s="42"/>
      <c r="B1774" s="35"/>
      <c r="H1774" s="43"/>
      <c r="I1774" s="44"/>
      <c r="M1774" s="26"/>
    </row>
    <row r="1775">
      <c r="A1775" s="42"/>
      <c r="B1775" s="35"/>
      <c r="H1775" s="43"/>
      <c r="I1775" s="44"/>
      <c r="M1775" s="26"/>
    </row>
    <row r="1776">
      <c r="A1776" s="42"/>
      <c r="B1776" s="35"/>
      <c r="H1776" s="43"/>
      <c r="I1776" s="44"/>
      <c r="M1776" s="26"/>
    </row>
    <row r="1777">
      <c r="A1777" s="42"/>
      <c r="B1777" s="35"/>
      <c r="H1777" s="43"/>
      <c r="I1777" s="44"/>
      <c r="M1777" s="26"/>
    </row>
    <row r="1778">
      <c r="A1778" s="42"/>
      <c r="B1778" s="35"/>
      <c r="H1778" s="43"/>
      <c r="I1778" s="44"/>
      <c r="M1778" s="26"/>
    </row>
    <row r="1779">
      <c r="A1779" s="42"/>
      <c r="B1779" s="35"/>
      <c r="H1779" s="43"/>
      <c r="I1779" s="44"/>
      <c r="M1779" s="26"/>
    </row>
    <row r="1780">
      <c r="A1780" s="42"/>
      <c r="B1780" s="35"/>
      <c r="H1780" s="43"/>
      <c r="I1780" s="44"/>
      <c r="M1780" s="26"/>
    </row>
    <row r="1781">
      <c r="A1781" s="42"/>
      <c r="B1781" s="35"/>
      <c r="H1781" s="43"/>
      <c r="I1781" s="44"/>
      <c r="M1781" s="26"/>
    </row>
    <row r="1782">
      <c r="A1782" s="42"/>
      <c r="B1782" s="35"/>
      <c r="H1782" s="43"/>
      <c r="I1782" s="44"/>
      <c r="M1782" s="26"/>
    </row>
    <row r="1783">
      <c r="A1783" s="42"/>
      <c r="B1783" s="35"/>
      <c r="H1783" s="43"/>
      <c r="I1783" s="44"/>
      <c r="M1783" s="26"/>
    </row>
    <row r="1784">
      <c r="A1784" s="42"/>
      <c r="B1784" s="35"/>
      <c r="H1784" s="43"/>
      <c r="I1784" s="44"/>
      <c r="M1784" s="26"/>
    </row>
    <row r="1785">
      <c r="A1785" s="42"/>
      <c r="B1785" s="35"/>
      <c r="H1785" s="43"/>
      <c r="I1785" s="44"/>
      <c r="M1785" s="26"/>
    </row>
    <row r="1786">
      <c r="A1786" s="42"/>
      <c r="B1786" s="35"/>
      <c r="H1786" s="43"/>
      <c r="I1786" s="44"/>
      <c r="M1786" s="26"/>
    </row>
    <row r="1787">
      <c r="A1787" s="42"/>
      <c r="B1787" s="35"/>
      <c r="H1787" s="43"/>
      <c r="I1787" s="44"/>
      <c r="M1787" s="26"/>
    </row>
    <row r="1788">
      <c r="A1788" s="42"/>
      <c r="B1788" s="35"/>
      <c r="H1788" s="43"/>
      <c r="I1788" s="44"/>
      <c r="M1788" s="26"/>
    </row>
    <row r="1789">
      <c r="A1789" s="42"/>
      <c r="B1789" s="35"/>
      <c r="H1789" s="43"/>
      <c r="I1789" s="44"/>
      <c r="M1789" s="26"/>
    </row>
    <row r="1790">
      <c r="A1790" s="42"/>
      <c r="B1790" s="35"/>
      <c r="H1790" s="43"/>
      <c r="I1790" s="44"/>
      <c r="M1790" s="26"/>
    </row>
    <row r="1791">
      <c r="A1791" s="42"/>
      <c r="B1791" s="35"/>
      <c r="H1791" s="43"/>
      <c r="I1791" s="44"/>
      <c r="M1791" s="26"/>
    </row>
    <row r="1792">
      <c r="A1792" s="42"/>
      <c r="B1792" s="35"/>
      <c r="H1792" s="43"/>
      <c r="I1792" s="44"/>
      <c r="M1792" s="26"/>
    </row>
    <row r="1793">
      <c r="A1793" s="42"/>
      <c r="B1793" s="35"/>
      <c r="H1793" s="43"/>
      <c r="I1793" s="44"/>
      <c r="M1793" s="26"/>
    </row>
    <row r="1794">
      <c r="A1794" s="42"/>
      <c r="B1794" s="35"/>
      <c r="H1794" s="43"/>
      <c r="I1794" s="44"/>
      <c r="M1794" s="26"/>
    </row>
    <row r="1795">
      <c r="A1795" s="42"/>
      <c r="B1795" s="35"/>
      <c r="H1795" s="43"/>
      <c r="I1795" s="44"/>
      <c r="M1795" s="26"/>
    </row>
    <row r="1796">
      <c r="A1796" s="42"/>
      <c r="B1796" s="35"/>
      <c r="H1796" s="43"/>
      <c r="I1796" s="44"/>
      <c r="M1796" s="26"/>
    </row>
    <row r="1797">
      <c r="A1797" s="42"/>
      <c r="B1797" s="35"/>
      <c r="H1797" s="43"/>
      <c r="I1797" s="44"/>
      <c r="M1797" s="26"/>
    </row>
    <row r="1798">
      <c r="A1798" s="42"/>
      <c r="B1798" s="35"/>
      <c r="H1798" s="43"/>
      <c r="I1798" s="44"/>
      <c r="M1798" s="26"/>
    </row>
    <row r="1799">
      <c r="A1799" s="42"/>
      <c r="B1799" s="35"/>
      <c r="H1799" s="43"/>
      <c r="I1799" s="44"/>
      <c r="M1799" s="26"/>
    </row>
    <row r="1800">
      <c r="A1800" s="42"/>
      <c r="B1800" s="35"/>
      <c r="H1800" s="43"/>
      <c r="I1800" s="44"/>
      <c r="M1800" s="26"/>
    </row>
    <row r="1801">
      <c r="A1801" s="42"/>
      <c r="B1801" s="35"/>
      <c r="H1801" s="43"/>
      <c r="I1801" s="44"/>
      <c r="M1801" s="26"/>
    </row>
    <row r="1802">
      <c r="A1802" s="42"/>
      <c r="B1802" s="35"/>
      <c r="H1802" s="43"/>
      <c r="I1802" s="44"/>
      <c r="M1802" s="26"/>
    </row>
    <row r="1803">
      <c r="A1803" s="42"/>
      <c r="B1803" s="35"/>
      <c r="H1803" s="43"/>
      <c r="I1803" s="44"/>
      <c r="M1803" s="26"/>
    </row>
    <row r="1804">
      <c r="A1804" s="42"/>
      <c r="B1804" s="35"/>
      <c r="H1804" s="43"/>
      <c r="I1804" s="44"/>
      <c r="M1804" s="26"/>
    </row>
    <row r="1805">
      <c r="A1805" s="42"/>
      <c r="B1805" s="35"/>
      <c r="H1805" s="43"/>
      <c r="I1805" s="44"/>
      <c r="M1805" s="26"/>
    </row>
    <row r="1806">
      <c r="A1806" s="42"/>
      <c r="B1806" s="35"/>
      <c r="H1806" s="43"/>
      <c r="I1806" s="44"/>
      <c r="M1806" s="26"/>
    </row>
    <row r="1807">
      <c r="A1807" s="42"/>
      <c r="B1807" s="35"/>
      <c r="H1807" s="43"/>
      <c r="I1807" s="44"/>
      <c r="M1807" s="26"/>
    </row>
    <row r="1808">
      <c r="A1808" s="42"/>
      <c r="B1808" s="35"/>
      <c r="H1808" s="43"/>
      <c r="I1808" s="44"/>
      <c r="M1808" s="26"/>
    </row>
    <row r="1809">
      <c r="A1809" s="42"/>
      <c r="B1809" s="35"/>
      <c r="H1809" s="43"/>
      <c r="I1809" s="44"/>
      <c r="M1809" s="26"/>
    </row>
    <row r="1810">
      <c r="A1810" s="42"/>
      <c r="B1810" s="35"/>
      <c r="H1810" s="43"/>
      <c r="I1810" s="44"/>
      <c r="M1810" s="26"/>
    </row>
    <row r="1811">
      <c r="A1811" s="42"/>
      <c r="B1811" s="35"/>
      <c r="H1811" s="43"/>
      <c r="I1811" s="44"/>
      <c r="M1811" s="26"/>
    </row>
    <row r="1812">
      <c r="A1812" s="42"/>
      <c r="B1812" s="35"/>
      <c r="H1812" s="43"/>
      <c r="I1812" s="44"/>
      <c r="M1812" s="26"/>
    </row>
    <row r="1813">
      <c r="A1813" s="42"/>
      <c r="B1813" s="35"/>
      <c r="H1813" s="43"/>
      <c r="I1813" s="44"/>
      <c r="M1813" s="26"/>
    </row>
    <row r="1814">
      <c r="A1814" s="42"/>
      <c r="B1814" s="35"/>
      <c r="H1814" s="43"/>
      <c r="I1814" s="44"/>
      <c r="M1814" s="26"/>
    </row>
    <row r="1815">
      <c r="A1815" s="42"/>
      <c r="B1815" s="35"/>
      <c r="H1815" s="43"/>
      <c r="I1815" s="44"/>
      <c r="M1815" s="26"/>
    </row>
    <row r="1816">
      <c r="A1816" s="42"/>
      <c r="B1816" s="35"/>
      <c r="H1816" s="43"/>
      <c r="I1816" s="44"/>
      <c r="M1816" s="26"/>
    </row>
    <row r="1817">
      <c r="A1817" s="42"/>
      <c r="B1817" s="35"/>
      <c r="H1817" s="43"/>
      <c r="I1817" s="44"/>
      <c r="M1817" s="26"/>
    </row>
    <row r="1818">
      <c r="A1818" s="42"/>
      <c r="B1818" s="35"/>
      <c r="H1818" s="43"/>
      <c r="I1818" s="44"/>
      <c r="M1818" s="26"/>
    </row>
    <row r="1819">
      <c r="A1819" s="42"/>
      <c r="B1819" s="35"/>
      <c r="H1819" s="43"/>
      <c r="I1819" s="44"/>
      <c r="M1819" s="26"/>
    </row>
    <row r="1820">
      <c r="A1820" s="42"/>
      <c r="B1820" s="35"/>
      <c r="H1820" s="43"/>
      <c r="I1820" s="44"/>
      <c r="M1820" s="26"/>
    </row>
    <row r="1821">
      <c r="A1821" s="42"/>
      <c r="B1821" s="35"/>
      <c r="H1821" s="43"/>
      <c r="I1821" s="44"/>
      <c r="M1821" s="26"/>
    </row>
    <row r="1822">
      <c r="A1822" s="42"/>
      <c r="B1822" s="35"/>
      <c r="H1822" s="43"/>
      <c r="I1822" s="44"/>
      <c r="M1822" s="26"/>
    </row>
    <row r="1823">
      <c r="A1823" s="42"/>
      <c r="B1823" s="35"/>
      <c r="H1823" s="43"/>
      <c r="I1823" s="44"/>
      <c r="M1823" s="26"/>
    </row>
    <row r="1824">
      <c r="A1824" s="42"/>
      <c r="B1824" s="35"/>
      <c r="H1824" s="43"/>
      <c r="I1824" s="44"/>
      <c r="M1824" s="26"/>
    </row>
    <row r="1825">
      <c r="A1825" s="42"/>
      <c r="B1825" s="35"/>
      <c r="H1825" s="43"/>
      <c r="I1825" s="44"/>
      <c r="M1825" s="26"/>
    </row>
    <row r="1826">
      <c r="A1826" s="42"/>
      <c r="B1826" s="35"/>
      <c r="H1826" s="43"/>
      <c r="I1826" s="44"/>
      <c r="M1826" s="26"/>
    </row>
    <row r="1827">
      <c r="A1827" s="42"/>
      <c r="B1827" s="35"/>
      <c r="H1827" s="43"/>
      <c r="I1827" s="44"/>
      <c r="M1827" s="26"/>
    </row>
    <row r="1828">
      <c r="A1828" s="42"/>
      <c r="B1828" s="35"/>
      <c r="H1828" s="43"/>
      <c r="I1828" s="44"/>
      <c r="M1828" s="26"/>
    </row>
    <row r="1829">
      <c r="A1829" s="42"/>
      <c r="B1829" s="35"/>
      <c r="H1829" s="43"/>
      <c r="I1829" s="44"/>
      <c r="M1829" s="26"/>
    </row>
    <row r="1830">
      <c r="A1830" s="42"/>
      <c r="B1830" s="35"/>
      <c r="H1830" s="43"/>
      <c r="I1830" s="44"/>
      <c r="M1830" s="26"/>
    </row>
    <row r="1831">
      <c r="A1831" s="42"/>
      <c r="B1831" s="35"/>
      <c r="H1831" s="43"/>
      <c r="I1831" s="44"/>
      <c r="M1831" s="26"/>
    </row>
    <row r="1832">
      <c r="A1832" s="42"/>
      <c r="B1832" s="35"/>
      <c r="H1832" s="43"/>
      <c r="I1832" s="44"/>
      <c r="M1832" s="26"/>
    </row>
    <row r="1833">
      <c r="A1833" s="42"/>
      <c r="B1833" s="35"/>
      <c r="H1833" s="43"/>
      <c r="I1833" s="44"/>
      <c r="M1833" s="26"/>
    </row>
    <row r="1834">
      <c r="A1834" s="42"/>
      <c r="B1834" s="35"/>
      <c r="H1834" s="43"/>
      <c r="I1834" s="44"/>
      <c r="M1834" s="26"/>
    </row>
    <row r="1835">
      <c r="A1835" s="42"/>
      <c r="B1835" s="35"/>
      <c r="H1835" s="43"/>
      <c r="I1835" s="44"/>
      <c r="M1835" s="26"/>
    </row>
    <row r="1836">
      <c r="A1836" s="42"/>
      <c r="B1836" s="35"/>
      <c r="H1836" s="43"/>
      <c r="I1836" s="44"/>
      <c r="M1836" s="26"/>
    </row>
    <row r="1837">
      <c r="A1837" s="42"/>
      <c r="B1837" s="35"/>
      <c r="H1837" s="43"/>
      <c r="I1837" s="44"/>
      <c r="M1837" s="26"/>
    </row>
    <row r="1838">
      <c r="A1838" s="42"/>
      <c r="B1838" s="35"/>
      <c r="H1838" s="43"/>
      <c r="I1838" s="44"/>
      <c r="M1838" s="26"/>
    </row>
    <row r="1839">
      <c r="A1839" s="42"/>
      <c r="B1839" s="35"/>
      <c r="H1839" s="43"/>
      <c r="I1839" s="44"/>
      <c r="M1839" s="26"/>
    </row>
    <row r="1840">
      <c r="A1840" s="42"/>
      <c r="B1840" s="35"/>
      <c r="H1840" s="43"/>
      <c r="I1840" s="44"/>
      <c r="M1840" s="26"/>
    </row>
    <row r="1841">
      <c r="A1841" s="42"/>
      <c r="B1841" s="35"/>
      <c r="H1841" s="43"/>
      <c r="I1841" s="44"/>
      <c r="M1841" s="26"/>
    </row>
    <row r="1842">
      <c r="A1842" s="42"/>
      <c r="B1842" s="35"/>
      <c r="H1842" s="43"/>
      <c r="I1842" s="44"/>
      <c r="M1842" s="26"/>
    </row>
    <row r="1843">
      <c r="A1843" s="42"/>
      <c r="B1843" s="35"/>
      <c r="H1843" s="43"/>
      <c r="I1843" s="44"/>
      <c r="M1843" s="26"/>
    </row>
    <row r="1844">
      <c r="A1844" s="42"/>
      <c r="B1844" s="35"/>
      <c r="H1844" s="43"/>
      <c r="I1844" s="44"/>
      <c r="M1844" s="26"/>
    </row>
    <row r="1845">
      <c r="A1845" s="42"/>
      <c r="B1845" s="35"/>
      <c r="H1845" s="43"/>
      <c r="I1845" s="44"/>
      <c r="M1845" s="26"/>
    </row>
    <row r="1846">
      <c r="A1846" s="42"/>
      <c r="B1846" s="35"/>
      <c r="H1846" s="43"/>
      <c r="I1846" s="44"/>
      <c r="M1846" s="26"/>
    </row>
    <row r="1847">
      <c r="A1847" s="42"/>
      <c r="B1847" s="35"/>
      <c r="H1847" s="43"/>
      <c r="I1847" s="44"/>
      <c r="M1847" s="26"/>
    </row>
    <row r="1848">
      <c r="A1848" s="42"/>
      <c r="B1848" s="35"/>
      <c r="H1848" s="43"/>
      <c r="I1848" s="44"/>
      <c r="M1848" s="26"/>
    </row>
    <row r="1849">
      <c r="A1849" s="42"/>
      <c r="B1849" s="35"/>
      <c r="H1849" s="43"/>
      <c r="I1849" s="44"/>
      <c r="M1849" s="26"/>
    </row>
    <row r="1850">
      <c r="A1850" s="42"/>
      <c r="B1850" s="35"/>
      <c r="H1850" s="43"/>
      <c r="I1850" s="44"/>
      <c r="M1850" s="26"/>
    </row>
    <row r="1851">
      <c r="A1851" s="42"/>
      <c r="B1851" s="35"/>
      <c r="H1851" s="43"/>
      <c r="I1851" s="44"/>
      <c r="M1851" s="26"/>
    </row>
    <row r="1852">
      <c r="A1852" s="42"/>
      <c r="B1852" s="35"/>
      <c r="H1852" s="43"/>
      <c r="I1852" s="44"/>
      <c r="M1852" s="26"/>
    </row>
    <row r="1853">
      <c r="A1853" s="42"/>
      <c r="B1853" s="35"/>
      <c r="H1853" s="43"/>
      <c r="I1853" s="44"/>
      <c r="M1853" s="26"/>
    </row>
    <row r="1854">
      <c r="A1854" s="42"/>
      <c r="B1854" s="35"/>
      <c r="H1854" s="43"/>
      <c r="I1854" s="44"/>
      <c r="M1854" s="26"/>
    </row>
    <row r="1855">
      <c r="A1855" s="42"/>
      <c r="B1855" s="35"/>
      <c r="H1855" s="43"/>
      <c r="I1855" s="44"/>
      <c r="M1855" s="26"/>
    </row>
    <row r="1856">
      <c r="A1856" s="42"/>
      <c r="B1856" s="35"/>
      <c r="H1856" s="43"/>
      <c r="I1856" s="44"/>
      <c r="M1856" s="26"/>
    </row>
    <row r="1857">
      <c r="A1857" s="42"/>
      <c r="B1857" s="35"/>
      <c r="H1857" s="43"/>
      <c r="I1857" s="44"/>
      <c r="M1857" s="26"/>
    </row>
    <row r="1858">
      <c r="A1858" s="42"/>
      <c r="B1858" s="35"/>
      <c r="H1858" s="43"/>
      <c r="I1858" s="44"/>
      <c r="M1858" s="26"/>
    </row>
    <row r="1859">
      <c r="A1859" s="42"/>
      <c r="B1859" s="35"/>
      <c r="H1859" s="43"/>
      <c r="I1859" s="44"/>
      <c r="M1859" s="26"/>
    </row>
    <row r="1860">
      <c r="A1860" s="42"/>
      <c r="B1860" s="35"/>
      <c r="H1860" s="43"/>
      <c r="I1860" s="44"/>
      <c r="M1860" s="26"/>
    </row>
    <row r="1861">
      <c r="A1861" s="42"/>
      <c r="B1861" s="35"/>
      <c r="H1861" s="43"/>
      <c r="I1861" s="44"/>
      <c r="M1861" s="26"/>
    </row>
    <row r="1862">
      <c r="A1862" s="42"/>
      <c r="B1862" s="35"/>
      <c r="H1862" s="43"/>
      <c r="I1862" s="44"/>
      <c r="M1862" s="26"/>
    </row>
    <row r="1863">
      <c r="A1863" s="42"/>
      <c r="B1863" s="35"/>
      <c r="H1863" s="43"/>
      <c r="I1863" s="44"/>
      <c r="M1863" s="26"/>
    </row>
    <row r="1864">
      <c r="A1864" s="42"/>
      <c r="B1864" s="35"/>
      <c r="H1864" s="43"/>
      <c r="I1864" s="44"/>
      <c r="M1864" s="26"/>
    </row>
    <row r="1865">
      <c r="A1865" s="42"/>
      <c r="B1865" s="35"/>
      <c r="H1865" s="43"/>
      <c r="I1865" s="44"/>
      <c r="M1865" s="26"/>
    </row>
    <row r="1866">
      <c r="A1866" s="42"/>
      <c r="B1866" s="35"/>
      <c r="H1866" s="43"/>
      <c r="I1866" s="44"/>
      <c r="M1866" s="26"/>
    </row>
    <row r="1867">
      <c r="A1867" s="42"/>
      <c r="B1867" s="35"/>
      <c r="H1867" s="43"/>
      <c r="I1867" s="44"/>
      <c r="M1867" s="26"/>
    </row>
    <row r="1868">
      <c r="A1868" s="42"/>
      <c r="B1868" s="35"/>
      <c r="H1868" s="43"/>
      <c r="I1868" s="44"/>
      <c r="M1868" s="26"/>
    </row>
    <row r="1869">
      <c r="A1869" s="42"/>
      <c r="B1869" s="35"/>
      <c r="H1869" s="43"/>
      <c r="I1869" s="44"/>
      <c r="M1869" s="26"/>
    </row>
    <row r="1870">
      <c r="A1870" s="42"/>
      <c r="B1870" s="35"/>
      <c r="H1870" s="43"/>
      <c r="I1870" s="44"/>
      <c r="M1870" s="26"/>
    </row>
    <row r="1871">
      <c r="A1871" s="42"/>
      <c r="B1871" s="35"/>
      <c r="H1871" s="43"/>
      <c r="I1871" s="44"/>
      <c r="M1871" s="26"/>
    </row>
    <row r="1872">
      <c r="A1872" s="42"/>
      <c r="B1872" s="35"/>
      <c r="H1872" s="43"/>
      <c r="I1872" s="44"/>
      <c r="M1872" s="26"/>
    </row>
    <row r="1873">
      <c r="A1873" s="42"/>
      <c r="B1873" s="35"/>
      <c r="H1873" s="43"/>
      <c r="I1873" s="44"/>
      <c r="M1873" s="26"/>
    </row>
    <row r="1874">
      <c r="A1874" s="42"/>
      <c r="B1874" s="35"/>
      <c r="H1874" s="43"/>
      <c r="I1874" s="44"/>
      <c r="M1874" s="26"/>
    </row>
    <row r="1875">
      <c r="A1875" s="42"/>
      <c r="B1875" s="35"/>
      <c r="H1875" s="43"/>
      <c r="I1875" s="44"/>
      <c r="M1875" s="26"/>
    </row>
    <row r="1876">
      <c r="A1876" s="42"/>
      <c r="B1876" s="35"/>
      <c r="H1876" s="43"/>
      <c r="I1876" s="44"/>
      <c r="M1876" s="26"/>
    </row>
    <row r="1877">
      <c r="A1877" s="42"/>
      <c r="B1877" s="35"/>
      <c r="H1877" s="43"/>
      <c r="I1877" s="44"/>
      <c r="M1877" s="26"/>
    </row>
    <row r="1878">
      <c r="A1878" s="42"/>
      <c r="B1878" s="35"/>
      <c r="H1878" s="43"/>
      <c r="I1878" s="44"/>
      <c r="M1878" s="26"/>
    </row>
    <row r="1879">
      <c r="A1879" s="42"/>
      <c r="B1879" s="35"/>
      <c r="H1879" s="43"/>
      <c r="I1879" s="44"/>
      <c r="M1879" s="26"/>
    </row>
    <row r="1880">
      <c r="A1880" s="42"/>
      <c r="B1880" s="35"/>
      <c r="H1880" s="43"/>
      <c r="I1880" s="44"/>
      <c r="M1880" s="26"/>
    </row>
    <row r="1881">
      <c r="A1881" s="42"/>
      <c r="B1881" s="35"/>
      <c r="H1881" s="43"/>
      <c r="I1881" s="44"/>
      <c r="M1881" s="26"/>
    </row>
    <row r="1882">
      <c r="A1882" s="42"/>
      <c r="B1882" s="35"/>
      <c r="H1882" s="43"/>
      <c r="I1882" s="44"/>
      <c r="M1882" s="26"/>
    </row>
    <row r="1883">
      <c r="A1883" s="42"/>
      <c r="B1883" s="35"/>
      <c r="H1883" s="43"/>
      <c r="I1883" s="44"/>
      <c r="M1883" s="26"/>
    </row>
    <row r="1884">
      <c r="A1884" s="42"/>
      <c r="B1884" s="35"/>
      <c r="H1884" s="43"/>
      <c r="I1884" s="44"/>
      <c r="M1884" s="26"/>
    </row>
    <row r="1885">
      <c r="A1885" s="42"/>
      <c r="B1885" s="35"/>
      <c r="H1885" s="43"/>
      <c r="I1885" s="44"/>
      <c r="M1885" s="26"/>
    </row>
    <row r="1886">
      <c r="A1886" s="42"/>
      <c r="B1886" s="35"/>
      <c r="H1886" s="43"/>
      <c r="I1886" s="44"/>
      <c r="M1886" s="26"/>
    </row>
    <row r="1887">
      <c r="A1887" s="42"/>
      <c r="B1887" s="35"/>
      <c r="H1887" s="43"/>
      <c r="I1887" s="44"/>
      <c r="M1887" s="26"/>
    </row>
    <row r="1888">
      <c r="A1888" s="42"/>
      <c r="B1888" s="35"/>
      <c r="H1888" s="43"/>
      <c r="I1888" s="44"/>
      <c r="M1888" s="26"/>
    </row>
    <row r="1889">
      <c r="A1889" s="42"/>
      <c r="B1889" s="35"/>
      <c r="H1889" s="43"/>
      <c r="I1889" s="44"/>
      <c r="M1889" s="26"/>
    </row>
    <row r="1890">
      <c r="A1890" s="42"/>
      <c r="B1890" s="35"/>
      <c r="H1890" s="43"/>
      <c r="I1890" s="44"/>
      <c r="M1890" s="26"/>
    </row>
    <row r="1891">
      <c r="A1891" s="42"/>
      <c r="B1891" s="35"/>
      <c r="H1891" s="43"/>
      <c r="I1891" s="44"/>
      <c r="M1891" s="26"/>
    </row>
    <row r="1892">
      <c r="A1892" s="42"/>
      <c r="B1892" s="35"/>
      <c r="H1892" s="43"/>
      <c r="I1892" s="44"/>
      <c r="M1892" s="26"/>
    </row>
    <row r="1893">
      <c r="A1893" s="42"/>
      <c r="B1893" s="35"/>
      <c r="H1893" s="43"/>
      <c r="I1893" s="44"/>
      <c r="M1893" s="26"/>
    </row>
    <row r="1894">
      <c r="A1894" s="42"/>
      <c r="B1894" s="35"/>
      <c r="H1894" s="43"/>
      <c r="I1894" s="44"/>
      <c r="M1894" s="26"/>
    </row>
    <row r="1895">
      <c r="A1895" s="42"/>
      <c r="B1895" s="35"/>
      <c r="H1895" s="43"/>
      <c r="I1895" s="44"/>
      <c r="M1895" s="26"/>
    </row>
    <row r="1896">
      <c r="A1896" s="42"/>
      <c r="B1896" s="35"/>
      <c r="H1896" s="43"/>
      <c r="I1896" s="44"/>
      <c r="M1896" s="26"/>
    </row>
    <row r="1897">
      <c r="A1897" s="42"/>
      <c r="B1897" s="35"/>
      <c r="H1897" s="43"/>
      <c r="I1897" s="44"/>
      <c r="M1897" s="26"/>
    </row>
    <row r="1898">
      <c r="A1898" s="42"/>
      <c r="B1898" s="35"/>
      <c r="H1898" s="43"/>
      <c r="I1898" s="44"/>
      <c r="M1898" s="26"/>
    </row>
    <row r="1899">
      <c r="A1899" s="42"/>
      <c r="B1899" s="35"/>
      <c r="H1899" s="43"/>
      <c r="I1899" s="44"/>
      <c r="M1899" s="26"/>
    </row>
    <row r="1900">
      <c r="A1900" s="42"/>
      <c r="B1900" s="35"/>
      <c r="H1900" s="43"/>
      <c r="I1900" s="44"/>
      <c r="M1900" s="26"/>
    </row>
    <row r="1901">
      <c r="A1901" s="42"/>
      <c r="B1901" s="35"/>
      <c r="H1901" s="43"/>
      <c r="I1901" s="44"/>
      <c r="M1901" s="26"/>
    </row>
    <row r="1902">
      <c r="A1902" s="42"/>
      <c r="B1902" s="35"/>
      <c r="H1902" s="43"/>
      <c r="I1902" s="44"/>
      <c r="M1902" s="26"/>
    </row>
    <row r="1903">
      <c r="A1903" s="42"/>
      <c r="B1903" s="35"/>
      <c r="H1903" s="43"/>
      <c r="I1903" s="44"/>
      <c r="M1903" s="26"/>
    </row>
    <row r="1904">
      <c r="A1904" s="42"/>
      <c r="B1904" s="35"/>
      <c r="H1904" s="43"/>
      <c r="I1904" s="44"/>
      <c r="M1904" s="26"/>
    </row>
    <row r="1905">
      <c r="A1905" s="42"/>
      <c r="B1905" s="35"/>
      <c r="H1905" s="43"/>
      <c r="I1905" s="44"/>
      <c r="M1905" s="26"/>
    </row>
    <row r="1906">
      <c r="A1906" s="42"/>
      <c r="B1906" s="35"/>
      <c r="H1906" s="43"/>
      <c r="I1906" s="44"/>
      <c r="M1906" s="26"/>
    </row>
    <row r="1907">
      <c r="A1907" s="42"/>
      <c r="B1907" s="35"/>
      <c r="H1907" s="43"/>
      <c r="I1907" s="44"/>
      <c r="M1907" s="26"/>
    </row>
    <row r="1908">
      <c r="A1908" s="42"/>
      <c r="B1908" s="35"/>
      <c r="H1908" s="43"/>
      <c r="I1908" s="44"/>
      <c r="M1908" s="26"/>
    </row>
    <row r="1909">
      <c r="A1909" s="42"/>
      <c r="B1909" s="35"/>
      <c r="H1909" s="43"/>
      <c r="I1909" s="44"/>
      <c r="M1909" s="26"/>
    </row>
    <row r="1910">
      <c r="A1910" s="42"/>
      <c r="B1910" s="35"/>
      <c r="H1910" s="43"/>
      <c r="I1910" s="44"/>
      <c r="M1910" s="26"/>
    </row>
    <row r="1911">
      <c r="A1911" s="42"/>
      <c r="B1911" s="35"/>
      <c r="H1911" s="43"/>
      <c r="I1911" s="44"/>
      <c r="M1911" s="26"/>
    </row>
    <row r="1912">
      <c r="A1912" s="42"/>
      <c r="B1912" s="35"/>
      <c r="H1912" s="43"/>
      <c r="I1912" s="44"/>
      <c r="M1912" s="26"/>
    </row>
    <row r="1913">
      <c r="A1913" s="42"/>
      <c r="B1913" s="35"/>
      <c r="H1913" s="43"/>
      <c r="I1913" s="44"/>
      <c r="M1913" s="26"/>
    </row>
    <row r="1914">
      <c r="A1914" s="42"/>
      <c r="B1914" s="35"/>
      <c r="H1914" s="43"/>
      <c r="I1914" s="44"/>
      <c r="M1914" s="26"/>
    </row>
    <row r="1915">
      <c r="A1915" s="42"/>
      <c r="B1915" s="35"/>
      <c r="H1915" s="43"/>
      <c r="I1915" s="44"/>
      <c r="M1915" s="26"/>
    </row>
    <row r="1916">
      <c r="A1916" s="42"/>
      <c r="B1916" s="35"/>
      <c r="H1916" s="43"/>
      <c r="I1916" s="44"/>
      <c r="M1916" s="26"/>
    </row>
    <row r="1917">
      <c r="A1917" s="42"/>
      <c r="B1917" s="35"/>
      <c r="H1917" s="43"/>
      <c r="I1917" s="44"/>
      <c r="M1917" s="26"/>
    </row>
    <row r="1918">
      <c r="A1918" s="42"/>
      <c r="B1918" s="35"/>
      <c r="H1918" s="43"/>
      <c r="I1918" s="44"/>
      <c r="M1918" s="26"/>
    </row>
    <row r="1919">
      <c r="A1919" s="42"/>
      <c r="B1919" s="35"/>
      <c r="H1919" s="43"/>
      <c r="I1919" s="44"/>
      <c r="M1919" s="26"/>
    </row>
    <row r="1920">
      <c r="A1920" s="42"/>
      <c r="B1920" s="35"/>
      <c r="H1920" s="43"/>
      <c r="I1920" s="44"/>
      <c r="M1920" s="26"/>
    </row>
    <row r="1921">
      <c r="A1921" s="42"/>
      <c r="B1921" s="35"/>
      <c r="H1921" s="43"/>
      <c r="I1921" s="44"/>
      <c r="M1921" s="26"/>
    </row>
    <row r="1922">
      <c r="A1922" s="42"/>
      <c r="B1922" s="35"/>
      <c r="H1922" s="43"/>
      <c r="I1922" s="44"/>
      <c r="M1922" s="26"/>
    </row>
    <row r="1923">
      <c r="A1923" s="42"/>
      <c r="B1923" s="35"/>
      <c r="H1923" s="43"/>
      <c r="I1923" s="44"/>
      <c r="M1923" s="26"/>
    </row>
    <row r="1924">
      <c r="A1924" s="42"/>
      <c r="B1924" s="35"/>
      <c r="H1924" s="43"/>
      <c r="I1924" s="44"/>
      <c r="M1924" s="26"/>
    </row>
    <row r="1925">
      <c r="A1925" s="42"/>
      <c r="B1925" s="35"/>
      <c r="H1925" s="43"/>
      <c r="I1925" s="44"/>
      <c r="M1925" s="26"/>
    </row>
    <row r="1926">
      <c r="A1926" s="42"/>
      <c r="B1926" s="35"/>
      <c r="H1926" s="43"/>
      <c r="I1926" s="44"/>
      <c r="M1926" s="26"/>
    </row>
    <row r="1927">
      <c r="A1927" s="42"/>
      <c r="B1927" s="35"/>
      <c r="H1927" s="43"/>
      <c r="I1927" s="44"/>
      <c r="M1927" s="26"/>
    </row>
    <row r="1928">
      <c r="A1928" s="42"/>
      <c r="B1928" s="35"/>
      <c r="H1928" s="43"/>
      <c r="I1928" s="44"/>
      <c r="M1928" s="26"/>
    </row>
    <row r="1929">
      <c r="A1929" s="42"/>
      <c r="B1929" s="35"/>
      <c r="H1929" s="43"/>
      <c r="I1929" s="44"/>
      <c r="M1929" s="26"/>
    </row>
    <row r="1930">
      <c r="A1930" s="42"/>
      <c r="B1930" s="35"/>
      <c r="H1930" s="43"/>
      <c r="I1930" s="44"/>
      <c r="M1930" s="26"/>
    </row>
    <row r="1931">
      <c r="A1931" s="42"/>
      <c r="B1931" s="35"/>
      <c r="H1931" s="43"/>
      <c r="I1931" s="44"/>
      <c r="M1931" s="26"/>
    </row>
    <row r="1932">
      <c r="A1932" s="42"/>
      <c r="B1932" s="35"/>
      <c r="H1932" s="43"/>
      <c r="I1932" s="44"/>
      <c r="M1932" s="26"/>
    </row>
    <row r="1933">
      <c r="A1933" s="42"/>
      <c r="B1933" s="35"/>
      <c r="H1933" s="43"/>
      <c r="I1933" s="44"/>
      <c r="M1933" s="26"/>
    </row>
    <row r="1934">
      <c r="A1934" s="42"/>
      <c r="B1934" s="35"/>
      <c r="H1934" s="43"/>
      <c r="I1934" s="44"/>
      <c r="M1934" s="26"/>
    </row>
    <row r="1935">
      <c r="A1935" s="42"/>
      <c r="B1935" s="35"/>
      <c r="H1935" s="43"/>
      <c r="I1935" s="44"/>
      <c r="M1935" s="26"/>
    </row>
    <row r="1936">
      <c r="A1936" s="42"/>
      <c r="B1936" s="35"/>
      <c r="H1936" s="43"/>
      <c r="I1936" s="44"/>
      <c r="M1936" s="26"/>
    </row>
    <row r="1937">
      <c r="A1937" s="42"/>
      <c r="B1937" s="35"/>
      <c r="H1937" s="43"/>
      <c r="I1937" s="44"/>
      <c r="M1937" s="26"/>
    </row>
    <row r="1938">
      <c r="A1938" s="42"/>
      <c r="B1938" s="35"/>
      <c r="H1938" s="43"/>
      <c r="I1938" s="44"/>
      <c r="M1938" s="26"/>
    </row>
    <row r="1939">
      <c r="A1939" s="42"/>
      <c r="B1939" s="35"/>
      <c r="H1939" s="43"/>
      <c r="I1939" s="44"/>
      <c r="M1939" s="26"/>
    </row>
    <row r="1940">
      <c r="A1940" s="42"/>
      <c r="B1940" s="35"/>
      <c r="H1940" s="43"/>
      <c r="I1940" s="44"/>
      <c r="M1940" s="26"/>
    </row>
    <row r="1941">
      <c r="A1941" s="42"/>
      <c r="B1941" s="35"/>
      <c r="H1941" s="43"/>
      <c r="I1941" s="44"/>
      <c r="M1941" s="26"/>
    </row>
    <row r="1942">
      <c r="A1942" s="42"/>
      <c r="B1942" s="35"/>
      <c r="H1942" s="43"/>
      <c r="I1942" s="44"/>
      <c r="M1942" s="26"/>
    </row>
    <row r="1943">
      <c r="A1943" s="42"/>
      <c r="B1943" s="35"/>
      <c r="H1943" s="43"/>
      <c r="I1943" s="44"/>
      <c r="M1943" s="26"/>
    </row>
    <row r="1944">
      <c r="A1944" s="42"/>
      <c r="B1944" s="35"/>
      <c r="H1944" s="43"/>
      <c r="I1944" s="44"/>
      <c r="M1944" s="26"/>
    </row>
    <row r="1945">
      <c r="A1945" s="42"/>
      <c r="B1945" s="35"/>
      <c r="H1945" s="43"/>
      <c r="I1945" s="44"/>
      <c r="M1945" s="26"/>
    </row>
    <row r="1946">
      <c r="A1946" s="42"/>
      <c r="B1946" s="35"/>
      <c r="H1946" s="43"/>
      <c r="I1946" s="44"/>
      <c r="M1946" s="26"/>
    </row>
    <row r="1947">
      <c r="A1947" s="42"/>
      <c r="B1947" s="35"/>
      <c r="H1947" s="43"/>
      <c r="I1947" s="44"/>
      <c r="M1947" s="26"/>
    </row>
    <row r="1948">
      <c r="A1948" s="42"/>
      <c r="B1948" s="35"/>
      <c r="H1948" s="43"/>
      <c r="I1948" s="44"/>
      <c r="M1948" s="26"/>
    </row>
    <row r="1949">
      <c r="A1949" s="42"/>
      <c r="B1949" s="35"/>
      <c r="H1949" s="43"/>
      <c r="I1949" s="44"/>
      <c r="M1949" s="26"/>
    </row>
    <row r="1950">
      <c r="A1950" s="42"/>
      <c r="B1950" s="35"/>
      <c r="H1950" s="43"/>
      <c r="I1950" s="44"/>
      <c r="M1950" s="26"/>
    </row>
    <row r="1951">
      <c r="A1951" s="42"/>
      <c r="B1951" s="35"/>
      <c r="H1951" s="43"/>
      <c r="I1951" s="44"/>
      <c r="M1951" s="26"/>
    </row>
    <row r="1952">
      <c r="A1952" s="42"/>
      <c r="B1952" s="35"/>
      <c r="H1952" s="43"/>
      <c r="I1952" s="44"/>
      <c r="M1952" s="26"/>
    </row>
    <row r="1953">
      <c r="A1953" s="42"/>
      <c r="B1953" s="35"/>
      <c r="H1953" s="43"/>
      <c r="I1953" s="44"/>
      <c r="M1953" s="26"/>
    </row>
    <row r="1954">
      <c r="A1954" s="42"/>
      <c r="B1954" s="35"/>
      <c r="H1954" s="43"/>
      <c r="I1954" s="44"/>
      <c r="M1954" s="26"/>
    </row>
    <row r="1955">
      <c r="A1955" s="42"/>
      <c r="B1955" s="35"/>
      <c r="H1955" s="43"/>
      <c r="I1955" s="44"/>
      <c r="M1955" s="26"/>
    </row>
    <row r="1956">
      <c r="A1956" s="42"/>
      <c r="B1956" s="35"/>
      <c r="H1956" s="43"/>
      <c r="I1956" s="44"/>
      <c r="M1956" s="26"/>
    </row>
    <row r="1957">
      <c r="A1957" s="42"/>
      <c r="B1957" s="35"/>
      <c r="H1957" s="43"/>
      <c r="I1957" s="44"/>
      <c r="M1957" s="26"/>
    </row>
    <row r="1958">
      <c r="A1958" s="42"/>
      <c r="B1958" s="35"/>
      <c r="H1958" s="43"/>
      <c r="I1958" s="44"/>
      <c r="M1958" s="26"/>
    </row>
    <row r="1959">
      <c r="A1959" s="42"/>
      <c r="B1959" s="35"/>
      <c r="H1959" s="43"/>
      <c r="I1959" s="44"/>
      <c r="M1959" s="26"/>
    </row>
    <row r="1960">
      <c r="A1960" s="42"/>
      <c r="B1960" s="35"/>
      <c r="H1960" s="43"/>
      <c r="I1960" s="44"/>
      <c r="M1960" s="26"/>
    </row>
    <row r="1961">
      <c r="A1961" s="42"/>
      <c r="B1961" s="35"/>
      <c r="H1961" s="43"/>
      <c r="I1961" s="44"/>
      <c r="M1961" s="26"/>
    </row>
    <row r="1962">
      <c r="A1962" s="42"/>
      <c r="B1962" s="35"/>
      <c r="H1962" s="43"/>
      <c r="I1962" s="44"/>
      <c r="M1962" s="26"/>
    </row>
    <row r="1963">
      <c r="A1963" s="42"/>
      <c r="B1963" s="35"/>
      <c r="H1963" s="43"/>
      <c r="I1963" s="44"/>
      <c r="M1963" s="26"/>
    </row>
    <row r="1964">
      <c r="A1964" s="42"/>
      <c r="B1964" s="35"/>
      <c r="H1964" s="43"/>
      <c r="I1964" s="44"/>
      <c r="M1964" s="26"/>
    </row>
    <row r="1965">
      <c r="A1965" s="42"/>
      <c r="B1965" s="35"/>
      <c r="H1965" s="43"/>
      <c r="I1965" s="44"/>
      <c r="M1965" s="26"/>
    </row>
    <row r="1966">
      <c r="A1966" s="42"/>
      <c r="B1966" s="35"/>
      <c r="H1966" s="43"/>
      <c r="I1966" s="44"/>
      <c r="M1966" s="26"/>
    </row>
    <row r="1967">
      <c r="A1967" s="42"/>
      <c r="B1967" s="35"/>
      <c r="H1967" s="43"/>
      <c r="I1967" s="44"/>
      <c r="M1967" s="26"/>
    </row>
    <row r="1968">
      <c r="A1968" s="42"/>
      <c r="B1968" s="35"/>
      <c r="H1968" s="43"/>
      <c r="I1968" s="44"/>
      <c r="M1968" s="26"/>
    </row>
    <row r="1969">
      <c r="A1969" s="42"/>
      <c r="B1969" s="35"/>
      <c r="H1969" s="43"/>
      <c r="I1969" s="44"/>
      <c r="M1969" s="26"/>
    </row>
    <row r="1970">
      <c r="A1970" s="42"/>
      <c r="B1970" s="35"/>
      <c r="H1970" s="43"/>
      <c r="I1970" s="44"/>
      <c r="M1970" s="26"/>
    </row>
    <row r="1971">
      <c r="A1971" s="42"/>
      <c r="B1971" s="35"/>
      <c r="H1971" s="43"/>
      <c r="I1971" s="44"/>
      <c r="M1971" s="26"/>
    </row>
    <row r="1972">
      <c r="A1972" s="42"/>
      <c r="B1972" s="35"/>
      <c r="H1972" s="43"/>
      <c r="I1972" s="44"/>
      <c r="M1972" s="26"/>
    </row>
    <row r="1973">
      <c r="A1973" s="42"/>
      <c r="B1973" s="35"/>
      <c r="H1973" s="43"/>
      <c r="I1973" s="44"/>
      <c r="M1973" s="26"/>
    </row>
    <row r="1974">
      <c r="A1974" s="42"/>
      <c r="B1974" s="35"/>
      <c r="H1974" s="43"/>
      <c r="I1974" s="44"/>
      <c r="M1974" s="26"/>
    </row>
    <row r="1975">
      <c r="A1975" s="42"/>
      <c r="B1975" s="35"/>
      <c r="H1975" s="43"/>
      <c r="I1975" s="44"/>
      <c r="M1975" s="26"/>
    </row>
    <row r="1976">
      <c r="A1976" s="42"/>
      <c r="B1976" s="35"/>
      <c r="H1976" s="43"/>
      <c r="I1976" s="44"/>
      <c r="M1976" s="26"/>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7.5"/>
    <col customWidth="1" min="3" max="3" width="10.13"/>
    <col customWidth="1" min="4" max="4" width="20.5"/>
    <col customWidth="1" min="7" max="7" width="22.75"/>
    <col customWidth="1" min="8" max="8" width="27.25"/>
    <col customWidth="1" min="9" max="9" width="61.25"/>
    <col customWidth="1" min="10" max="10" width="13.38"/>
    <col customWidth="1" min="11" max="11" width="13.5"/>
    <col customWidth="1" min="12" max="12" width="17.63"/>
    <col customWidth="1" min="13" max="13" width="7.75"/>
    <col customWidth="1" min="14" max="14" width="12.13"/>
    <col customWidth="1" min="15" max="15" width="9.0"/>
    <col customWidth="1" min="16" max="16" width="8.38"/>
    <col customWidth="1" min="17" max="17" width="13.13"/>
  </cols>
  <sheetData>
    <row r="1">
      <c r="A1" s="1" t="s">
        <v>0</v>
      </c>
      <c r="B1" s="28" t="s">
        <v>1</v>
      </c>
      <c r="C1" s="1" t="s">
        <v>275</v>
      </c>
      <c r="D1" s="1" t="s">
        <v>2</v>
      </c>
      <c r="E1" s="1" t="s">
        <v>5</v>
      </c>
      <c r="F1" s="1" t="s">
        <v>276</v>
      </c>
      <c r="G1" s="5" t="s">
        <v>9</v>
      </c>
      <c r="H1" s="1" t="s">
        <v>10</v>
      </c>
      <c r="I1" s="1" t="s">
        <v>11</v>
      </c>
      <c r="J1" s="1" t="s">
        <v>13</v>
      </c>
      <c r="K1" s="1" t="s">
        <v>14</v>
      </c>
      <c r="L1" s="6" t="s">
        <v>15</v>
      </c>
      <c r="M1" s="1" t="s">
        <v>16</v>
      </c>
      <c r="N1" s="1" t="s">
        <v>17</v>
      </c>
      <c r="O1" s="1" t="s">
        <v>18</v>
      </c>
      <c r="P1" s="1" t="s">
        <v>485</v>
      </c>
      <c r="Q1" s="1" t="s">
        <v>20</v>
      </c>
      <c r="R1" s="7"/>
      <c r="S1" s="7"/>
      <c r="T1" s="7"/>
      <c r="U1" s="7"/>
      <c r="V1" s="7"/>
      <c r="W1" s="7"/>
      <c r="X1" s="7"/>
      <c r="Y1" s="7"/>
      <c r="Z1" s="7"/>
      <c r="AA1" s="7"/>
      <c r="AB1" s="7"/>
      <c r="AC1" s="7"/>
      <c r="AD1" s="7"/>
    </row>
    <row r="2">
      <c r="A2" s="8" t="str">
        <f t="shared" ref="A2:A49" si="1">"Q"&amp;INT((MONTH(B2)+2)/3)</f>
        <v>Q1</v>
      </c>
      <c r="B2" s="8">
        <f t="shared" ref="B2:B49" si="2">VALUE(LEFT(D2,10))</f>
        <v>45303</v>
      </c>
      <c r="C2" s="10" t="s">
        <v>278</v>
      </c>
      <c r="D2" s="10" t="s">
        <v>486</v>
      </c>
      <c r="E2" s="10" t="s">
        <v>72</v>
      </c>
      <c r="F2" s="10">
        <v>1.0</v>
      </c>
      <c r="G2" s="12" t="s">
        <v>487</v>
      </c>
      <c r="H2" s="10" t="s">
        <v>488</v>
      </c>
      <c r="I2" s="13" t="s">
        <v>489</v>
      </c>
      <c r="J2" s="10">
        <v>25183.0</v>
      </c>
      <c r="K2" s="10">
        <f t="shared" ref="K2:K49" si="3">M2+N2+O2</f>
        <v>474</v>
      </c>
      <c r="L2" s="14">
        <f t="shared" ref="L2:L49" si="4">K2/J2</f>
        <v>0.01882222134</v>
      </c>
      <c r="M2" s="10">
        <v>440.0</v>
      </c>
      <c r="N2" s="10">
        <v>9.0</v>
      </c>
      <c r="O2" s="10">
        <v>25.0</v>
      </c>
      <c r="P2" s="10">
        <v>4307.0</v>
      </c>
      <c r="Q2" s="10">
        <v>0.0</v>
      </c>
    </row>
    <row r="3">
      <c r="A3" s="8" t="str">
        <f t="shared" si="1"/>
        <v>Q1</v>
      </c>
      <c r="B3" s="8">
        <f t="shared" si="2"/>
        <v>45308</v>
      </c>
      <c r="C3" s="10" t="s">
        <v>278</v>
      </c>
      <c r="D3" s="10" t="s">
        <v>490</v>
      </c>
      <c r="E3" s="10" t="s">
        <v>72</v>
      </c>
      <c r="F3" s="10">
        <v>2.0</v>
      </c>
      <c r="G3" s="12" t="s">
        <v>487</v>
      </c>
      <c r="H3" s="10" t="s">
        <v>491</v>
      </c>
      <c r="I3" s="13" t="s">
        <v>492</v>
      </c>
      <c r="J3" s="10">
        <v>3903.0</v>
      </c>
      <c r="K3" s="10">
        <f t="shared" si="3"/>
        <v>64</v>
      </c>
      <c r="L3" s="14">
        <f t="shared" si="4"/>
        <v>0.01639764284</v>
      </c>
      <c r="M3" s="10">
        <v>61.0</v>
      </c>
      <c r="N3" s="10">
        <v>0.0</v>
      </c>
      <c r="O3" s="10">
        <v>3.0</v>
      </c>
      <c r="P3" s="10">
        <v>400.0</v>
      </c>
      <c r="Q3" s="10">
        <v>0.0</v>
      </c>
    </row>
    <row r="4">
      <c r="A4" s="8" t="str">
        <f t="shared" si="1"/>
        <v>Q1</v>
      </c>
      <c r="B4" s="8">
        <f t="shared" si="2"/>
        <v>45314</v>
      </c>
      <c r="C4" s="10" t="s">
        <v>278</v>
      </c>
      <c r="D4" s="10" t="s">
        <v>493</v>
      </c>
      <c r="E4" s="10" t="s">
        <v>72</v>
      </c>
      <c r="F4" s="10">
        <v>3.0</v>
      </c>
      <c r="G4" s="12" t="s">
        <v>494</v>
      </c>
      <c r="H4" s="10" t="s">
        <v>495</v>
      </c>
      <c r="I4" s="13" t="s">
        <v>496</v>
      </c>
      <c r="J4" s="10">
        <v>23410.0</v>
      </c>
      <c r="K4" s="10">
        <f t="shared" si="3"/>
        <v>427</v>
      </c>
      <c r="L4" s="14">
        <f t="shared" si="4"/>
        <v>0.01824006835</v>
      </c>
      <c r="M4" s="10">
        <v>407.0</v>
      </c>
      <c r="N4" s="10">
        <v>2.0</v>
      </c>
      <c r="O4" s="10">
        <v>18.0</v>
      </c>
      <c r="P4" s="10">
        <v>569.0</v>
      </c>
      <c r="Q4" s="10">
        <v>0.0</v>
      </c>
    </row>
    <row r="5">
      <c r="A5" s="8" t="str">
        <f t="shared" si="1"/>
        <v>Q1</v>
      </c>
      <c r="B5" s="8">
        <f t="shared" si="2"/>
        <v>45344</v>
      </c>
      <c r="C5" s="10" t="s">
        <v>278</v>
      </c>
      <c r="D5" s="10" t="s">
        <v>497</v>
      </c>
      <c r="E5" s="10" t="s">
        <v>72</v>
      </c>
      <c r="F5" s="10">
        <v>4.0</v>
      </c>
      <c r="G5" s="12" t="s">
        <v>498</v>
      </c>
      <c r="H5" s="10" t="s">
        <v>499</v>
      </c>
      <c r="I5" s="13" t="s">
        <v>500</v>
      </c>
      <c r="J5" s="10">
        <v>9548.0</v>
      </c>
      <c r="K5" s="10">
        <f t="shared" si="3"/>
        <v>55</v>
      </c>
      <c r="L5" s="14">
        <f t="shared" si="4"/>
        <v>0.005760368664</v>
      </c>
      <c r="M5" s="10">
        <v>52.0</v>
      </c>
      <c r="N5" s="10">
        <v>0.0</v>
      </c>
      <c r="O5" s="10">
        <v>3.0</v>
      </c>
      <c r="P5" s="10">
        <v>133.0</v>
      </c>
      <c r="Q5" s="10">
        <v>0.0</v>
      </c>
    </row>
    <row r="6">
      <c r="A6" s="8" t="str">
        <f t="shared" si="1"/>
        <v>Q1</v>
      </c>
      <c r="B6" s="8">
        <f t="shared" si="2"/>
        <v>45349</v>
      </c>
      <c r="C6" s="10" t="s">
        <v>278</v>
      </c>
      <c r="D6" s="10" t="s">
        <v>501</v>
      </c>
      <c r="E6" s="10" t="s">
        <v>502</v>
      </c>
      <c r="F6" s="10">
        <v>5.0</v>
      </c>
      <c r="G6" s="12" t="s">
        <v>106</v>
      </c>
      <c r="H6" s="10" t="s">
        <v>503</v>
      </c>
      <c r="I6" s="13" t="s">
        <v>504</v>
      </c>
      <c r="J6" s="10">
        <v>34311.0</v>
      </c>
      <c r="K6" s="10">
        <f t="shared" si="3"/>
        <v>449</v>
      </c>
      <c r="L6" s="14">
        <f t="shared" si="4"/>
        <v>0.01308618227</v>
      </c>
      <c r="M6" s="10">
        <v>412.0</v>
      </c>
      <c r="N6" s="10">
        <v>3.0</v>
      </c>
      <c r="O6" s="10">
        <v>34.0</v>
      </c>
      <c r="P6" s="10">
        <v>1142.0</v>
      </c>
      <c r="Q6" s="10">
        <v>14857.0</v>
      </c>
    </row>
    <row r="7">
      <c r="A7" s="8" t="str">
        <f t="shared" si="1"/>
        <v>Q1</v>
      </c>
      <c r="B7" s="8">
        <f t="shared" si="2"/>
        <v>45351</v>
      </c>
      <c r="C7" s="10" t="s">
        <v>278</v>
      </c>
      <c r="D7" s="10" t="s">
        <v>505</v>
      </c>
      <c r="E7" s="10" t="s">
        <v>72</v>
      </c>
      <c r="F7" s="10">
        <v>6.0</v>
      </c>
      <c r="G7" s="12" t="s">
        <v>106</v>
      </c>
      <c r="H7" s="10" t="s">
        <v>506</v>
      </c>
      <c r="I7" s="13" t="s">
        <v>507</v>
      </c>
      <c r="J7" s="10">
        <v>19228.0</v>
      </c>
      <c r="K7" s="10">
        <f t="shared" si="3"/>
        <v>265</v>
      </c>
      <c r="L7" s="14">
        <f t="shared" si="4"/>
        <v>0.01378198461</v>
      </c>
      <c r="M7" s="10">
        <v>248.0</v>
      </c>
      <c r="N7" s="10">
        <v>5.0</v>
      </c>
      <c r="O7" s="10">
        <v>12.0</v>
      </c>
      <c r="P7" s="10">
        <v>2287.0</v>
      </c>
      <c r="Q7" s="10">
        <v>0.0</v>
      </c>
    </row>
    <row r="8">
      <c r="A8" s="8" t="str">
        <f t="shared" si="1"/>
        <v>Q1</v>
      </c>
      <c r="B8" s="8">
        <f t="shared" si="2"/>
        <v>45357</v>
      </c>
      <c r="C8" s="10" t="s">
        <v>278</v>
      </c>
      <c r="D8" s="10" t="s">
        <v>508</v>
      </c>
      <c r="E8" s="10" t="s">
        <v>502</v>
      </c>
      <c r="F8" s="10">
        <v>7.0</v>
      </c>
      <c r="G8" s="12" t="s">
        <v>120</v>
      </c>
      <c r="H8" s="10" t="s">
        <v>509</v>
      </c>
      <c r="I8" s="13" t="s">
        <v>510</v>
      </c>
      <c r="J8" s="10">
        <v>13881.0</v>
      </c>
      <c r="K8" s="10">
        <f t="shared" si="3"/>
        <v>256</v>
      </c>
      <c r="L8" s="14">
        <f t="shared" si="4"/>
        <v>0.01844247533</v>
      </c>
      <c r="M8" s="10">
        <v>226.0</v>
      </c>
      <c r="N8" s="10">
        <v>3.0</v>
      </c>
      <c r="O8" s="10">
        <v>27.0</v>
      </c>
      <c r="P8" s="10">
        <v>280.0</v>
      </c>
      <c r="Q8" s="10">
        <v>5604.0</v>
      </c>
    </row>
    <row r="9">
      <c r="A9" s="8" t="str">
        <f t="shared" si="1"/>
        <v>Q1</v>
      </c>
      <c r="B9" s="8">
        <f t="shared" si="2"/>
        <v>45358</v>
      </c>
      <c r="C9" s="10" t="s">
        <v>278</v>
      </c>
      <c r="D9" s="10" t="s">
        <v>126</v>
      </c>
      <c r="E9" s="10" t="s">
        <v>502</v>
      </c>
      <c r="F9" s="10">
        <v>8.0</v>
      </c>
      <c r="G9" s="12" t="s">
        <v>120</v>
      </c>
      <c r="H9" s="10" t="s">
        <v>511</v>
      </c>
      <c r="I9" s="13" t="s">
        <v>512</v>
      </c>
      <c r="J9" s="10">
        <v>5937.0</v>
      </c>
      <c r="K9" s="10">
        <f t="shared" si="3"/>
        <v>82</v>
      </c>
      <c r="L9" s="14">
        <f t="shared" si="4"/>
        <v>0.01381168941</v>
      </c>
      <c r="M9" s="10">
        <v>75.0</v>
      </c>
      <c r="N9" s="10">
        <v>0.0</v>
      </c>
      <c r="O9" s="10">
        <v>7.0</v>
      </c>
      <c r="P9" s="10">
        <v>75.0</v>
      </c>
      <c r="Q9" s="10">
        <v>3113.0</v>
      </c>
    </row>
    <row r="10">
      <c r="A10" s="8" t="str">
        <f t="shared" si="1"/>
        <v>Q1</v>
      </c>
      <c r="B10" s="8">
        <f t="shared" si="2"/>
        <v>45358</v>
      </c>
      <c r="C10" s="10" t="s">
        <v>278</v>
      </c>
      <c r="D10" s="10" t="s">
        <v>513</v>
      </c>
      <c r="E10" s="10" t="s">
        <v>72</v>
      </c>
      <c r="F10" s="10">
        <v>9.0</v>
      </c>
      <c r="G10" s="12" t="s">
        <v>452</v>
      </c>
      <c r="H10" s="10" t="s">
        <v>514</v>
      </c>
      <c r="I10" s="13" t="s">
        <v>515</v>
      </c>
      <c r="J10" s="10">
        <v>5609.0</v>
      </c>
      <c r="K10" s="10">
        <f t="shared" si="3"/>
        <v>47</v>
      </c>
      <c r="L10" s="14">
        <f t="shared" si="4"/>
        <v>0.008379390266</v>
      </c>
      <c r="M10" s="10">
        <v>43.0</v>
      </c>
      <c r="N10" s="10">
        <v>0.0</v>
      </c>
      <c r="O10" s="10">
        <v>4.0</v>
      </c>
      <c r="P10" s="10">
        <v>53.0</v>
      </c>
      <c r="Q10" s="10">
        <v>0.0</v>
      </c>
    </row>
    <row r="11">
      <c r="A11" s="8" t="str">
        <f t="shared" si="1"/>
        <v>Q1</v>
      </c>
      <c r="B11" s="8">
        <f t="shared" si="2"/>
        <v>45358</v>
      </c>
      <c r="C11" s="10" t="s">
        <v>278</v>
      </c>
      <c r="D11" s="10" t="s">
        <v>516</v>
      </c>
      <c r="E11" s="10" t="s">
        <v>72</v>
      </c>
      <c r="F11" s="10">
        <v>10.0</v>
      </c>
      <c r="G11" s="12" t="s">
        <v>120</v>
      </c>
      <c r="H11" s="10" t="s">
        <v>517</v>
      </c>
      <c r="I11" s="13" t="s">
        <v>518</v>
      </c>
      <c r="J11" s="10">
        <v>8516.0</v>
      </c>
      <c r="K11" s="10">
        <f t="shared" si="3"/>
        <v>42</v>
      </c>
      <c r="L11" s="14">
        <f t="shared" si="4"/>
        <v>0.004931892907</v>
      </c>
      <c r="M11" s="10">
        <v>40.0</v>
      </c>
      <c r="N11" s="10">
        <v>1.0</v>
      </c>
      <c r="O11" s="10">
        <v>1.0</v>
      </c>
      <c r="P11" s="10">
        <v>2083.0</v>
      </c>
      <c r="Q11" s="10">
        <v>0.0</v>
      </c>
    </row>
    <row r="12">
      <c r="A12" s="8" t="str">
        <f t="shared" si="1"/>
        <v>Q1</v>
      </c>
      <c r="B12" s="8">
        <f t="shared" si="2"/>
        <v>45359</v>
      </c>
      <c r="C12" s="10" t="s">
        <v>278</v>
      </c>
      <c r="D12" s="10" t="s">
        <v>519</v>
      </c>
      <c r="E12" s="10" t="s">
        <v>72</v>
      </c>
      <c r="F12" s="10">
        <v>11.0</v>
      </c>
      <c r="G12" s="12" t="s">
        <v>520</v>
      </c>
      <c r="H12" s="10" t="s">
        <v>521</v>
      </c>
      <c r="I12" s="13" t="s">
        <v>522</v>
      </c>
      <c r="J12" s="10">
        <v>21975.0</v>
      </c>
      <c r="K12" s="10">
        <f t="shared" si="3"/>
        <v>528</v>
      </c>
      <c r="L12" s="14">
        <f t="shared" si="4"/>
        <v>0.02402730375</v>
      </c>
      <c r="M12" s="10">
        <v>510.0</v>
      </c>
      <c r="N12" s="10">
        <v>1.0</v>
      </c>
      <c r="O12" s="10">
        <v>17.0</v>
      </c>
      <c r="P12" s="10">
        <v>813.0</v>
      </c>
      <c r="Q12" s="10">
        <v>0.0</v>
      </c>
    </row>
    <row r="13">
      <c r="A13" s="8" t="str">
        <f t="shared" si="1"/>
        <v>Q1</v>
      </c>
      <c r="B13" s="8">
        <f t="shared" si="2"/>
        <v>45362</v>
      </c>
      <c r="C13" s="10" t="s">
        <v>278</v>
      </c>
      <c r="D13" s="10" t="s">
        <v>133</v>
      </c>
      <c r="E13" s="10" t="s">
        <v>502</v>
      </c>
      <c r="F13" s="10">
        <v>12.0</v>
      </c>
      <c r="G13" s="12" t="s">
        <v>120</v>
      </c>
      <c r="H13" s="10" t="s">
        <v>523</v>
      </c>
      <c r="I13" s="13" t="s">
        <v>524</v>
      </c>
      <c r="J13" s="10">
        <v>9167.0</v>
      </c>
      <c r="K13" s="10">
        <f t="shared" si="3"/>
        <v>136</v>
      </c>
      <c r="L13" s="14">
        <f t="shared" si="4"/>
        <v>0.01483582415</v>
      </c>
      <c r="M13" s="10">
        <v>128.0</v>
      </c>
      <c r="N13" s="10">
        <v>1.0</v>
      </c>
      <c r="O13" s="10">
        <v>7.0</v>
      </c>
      <c r="P13" s="10">
        <v>120.0</v>
      </c>
      <c r="Q13" s="10">
        <v>3453.0</v>
      </c>
      <c r="V13" s="27"/>
    </row>
    <row r="14">
      <c r="A14" s="8" t="str">
        <f t="shared" si="1"/>
        <v>Q1</v>
      </c>
      <c r="B14" s="8">
        <f t="shared" si="2"/>
        <v>45364</v>
      </c>
      <c r="C14" s="10" t="s">
        <v>278</v>
      </c>
      <c r="D14" s="10" t="s">
        <v>525</v>
      </c>
      <c r="E14" s="10" t="s">
        <v>72</v>
      </c>
      <c r="F14" s="10">
        <v>13.0</v>
      </c>
      <c r="G14" s="12" t="s">
        <v>526</v>
      </c>
      <c r="H14" s="10" t="s">
        <v>527</v>
      </c>
      <c r="I14" s="13" t="s">
        <v>528</v>
      </c>
      <c r="J14" s="10">
        <v>8130.0</v>
      </c>
      <c r="K14" s="10">
        <f t="shared" si="3"/>
        <v>133</v>
      </c>
      <c r="L14" s="14">
        <f t="shared" si="4"/>
        <v>0.01635916359</v>
      </c>
      <c r="M14" s="10">
        <v>118.0</v>
      </c>
      <c r="N14" s="10">
        <v>2.0</v>
      </c>
      <c r="O14" s="10">
        <v>13.0</v>
      </c>
      <c r="P14" s="10">
        <v>151.0</v>
      </c>
      <c r="Q14" s="10">
        <v>0.0</v>
      </c>
      <c r="V14" s="27"/>
    </row>
    <row r="15">
      <c r="A15" s="8" t="str">
        <f t="shared" si="1"/>
        <v>Q1</v>
      </c>
      <c r="B15" s="8">
        <f t="shared" si="2"/>
        <v>45364</v>
      </c>
      <c r="C15" s="10" t="s">
        <v>278</v>
      </c>
      <c r="D15" s="10" t="s">
        <v>529</v>
      </c>
      <c r="E15" s="10" t="s">
        <v>502</v>
      </c>
      <c r="F15" s="10">
        <v>14.0</v>
      </c>
      <c r="G15" s="12" t="s">
        <v>120</v>
      </c>
      <c r="H15" s="10" t="s">
        <v>530</v>
      </c>
      <c r="I15" s="13" t="s">
        <v>531</v>
      </c>
      <c r="J15" s="10">
        <v>7819.0</v>
      </c>
      <c r="K15" s="10">
        <f t="shared" si="3"/>
        <v>83</v>
      </c>
      <c r="L15" s="14">
        <f t="shared" si="4"/>
        <v>0.01061516818</v>
      </c>
      <c r="M15" s="10">
        <v>80.0</v>
      </c>
      <c r="N15" s="10">
        <v>0.0</v>
      </c>
      <c r="O15" s="10">
        <v>3.0</v>
      </c>
      <c r="P15" s="10">
        <v>86.0</v>
      </c>
      <c r="Q15" s="10">
        <v>2829.0</v>
      </c>
    </row>
    <row r="16">
      <c r="A16" s="8" t="str">
        <f t="shared" si="1"/>
        <v>Q1</v>
      </c>
      <c r="B16" s="8">
        <f t="shared" si="2"/>
        <v>45365</v>
      </c>
      <c r="C16" s="10" t="s">
        <v>278</v>
      </c>
      <c r="D16" s="10" t="s">
        <v>532</v>
      </c>
      <c r="E16" s="10" t="s">
        <v>72</v>
      </c>
      <c r="F16" s="10">
        <v>15.0</v>
      </c>
      <c r="G16" s="12" t="s">
        <v>533</v>
      </c>
      <c r="H16" s="10" t="s">
        <v>534</v>
      </c>
      <c r="I16" s="13" t="s">
        <v>535</v>
      </c>
      <c r="J16" s="10">
        <v>6997.0</v>
      </c>
      <c r="K16" s="10">
        <f t="shared" si="3"/>
        <v>58</v>
      </c>
      <c r="L16" s="14">
        <f t="shared" si="4"/>
        <v>0.008289266829</v>
      </c>
      <c r="M16" s="10">
        <v>57.0</v>
      </c>
      <c r="N16" s="10">
        <v>0.0</v>
      </c>
      <c r="O16" s="10">
        <v>1.0</v>
      </c>
      <c r="P16" s="10">
        <v>81.0</v>
      </c>
      <c r="Q16" s="10">
        <v>0.0</v>
      </c>
    </row>
    <row r="17">
      <c r="A17" s="8" t="str">
        <f t="shared" si="1"/>
        <v>Q1</v>
      </c>
      <c r="B17" s="8">
        <f t="shared" si="2"/>
        <v>45366</v>
      </c>
      <c r="C17" s="10" t="s">
        <v>278</v>
      </c>
      <c r="D17" s="10" t="s">
        <v>536</v>
      </c>
      <c r="E17" s="10" t="s">
        <v>502</v>
      </c>
      <c r="F17" s="10">
        <v>16.0</v>
      </c>
      <c r="G17" s="12" t="s">
        <v>120</v>
      </c>
      <c r="H17" s="10" t="s">
        <v>537</v>
      </c>
      <c r="I17" s="13" t="s">
        <v>538</v>
      </c>
      <c r="J17" s="10">
        <v>10919.0</v>
      </c>
      <c r="K17" s="10">
        <f t="shared" si="3"/>
        <v>122</v>
      </c>
      <c r="L17" s="14">
        <f t="shared" si="4"/>
        <v>0.01117318436</v>
      </c>
      <c r="M17" s="10">
        <v>113.0</v>
      </c>
      <c r="N17" s="10">
        <v>1.0</v>
      </c>
      <c r="O17" s="10">
        <v>8.0</v>
      </c>
      <c r="P17" s="10">
        <v>179.0</v>
      </c>
      <c r="Q17" s="10">
        <v>4095.0</v>
      </c>
    </row>
    <row r="18">
      <c r="A18" s="8" t="str">
        <f t="shared" si="1"/>
        <v>Q1</v>
      </c>
      <c r="B18" s="8">
        <f t="shared" si="2"/>
        <v>45370</v>
      </c>
      <c r="C18" s="10" t="s">
        <v>278</v>
      </c>
      <c r="D18" s="10" t="s">
        <v>539</v>
      </c>
      <c r="E18" s="10" t="s">
        <v>502</v>
      </c>
      <c r="F18" s="10">
        <v>17.0</v>
      </c>
      <c r="G18" s="12" t="s">
        <v>540</v>
      </c>
      <c r="H18" s="10" t="s">
        <v>541</v>
      </c>
      <c r="I18" s="13" t="s">
        <v>542</v>
      </c>
      <c r="J18" s="10">
        <v>8273.0</v>
      </c>
      <c r="K18" s="10">
        <f t="shared" si="3"/>
        <v>71</v>
      </c>
      <c r="L18" s="14">
        <f t="shared" si="4"/>
        <v>0.008582134655</v>
      </c>
      <c r="M18" s="10">
        <v>70.0</v>
      </c>
      <c r="N18" s="10">
        <v>0.0</v>
      </c>
      <c r="O18" s="10">
        <v>1.0</v>
      </c>
      <c r="P18" s="10">
        <v>77.0</v>
      </c>
      <c r="Q18" s="10">
        <v>2135.0</v>
      </c>
    </row>
    <row r="19">
      <c r="A19" s="8" t="str">
        <f t="shared" si="1"/>
        <v>Q1</v>
      </c>
      <c r="B19" s="8">
        <f t="shared" si="2"/>
        <v>45378</v>
      </c>
      <c r="C19" s="10" t="s">
        <v>278</v>
      </c>
      <c r="D19" s="10" t="s">
        <v>543</v>
      </c>
      <c r="E19" s="10" t="s">
        <v>502</v>
      </c>
      <c r="F19" s="10">
        <v>18.0</v>
      </c>
      <c r="G19" s="45" t="s">
        <v>162</v>
      </c>
      <c r="H19" s="10" t="s">
        <v>544</v>
      </c>
      <c r="I19" s="13" t="s">
        <v>545</v>
      </c>
      <c r="J19" s="10">
        <v>20232.0</v>
      </c>
      <c r="K19" s="10">
        <f t="shared" si="3"/>
        <v>418</v>
      </c>
      <c r="L19" s="14">
        <f t="shared" si="4"/>
        <v>0.02066034006</v>
      </c>
      <c r="M19" s="10">
        <v>368.0</v>
      </c>
      <c r="N19" s="10">
        <v>4.0</v>
      </c>
      <c r="O19" s="10">
        <v>46.0</v>
      </c>
      <c r="P19" s="10">
        <v>430.0</v>
      </c>
      <c r="Q19" s="10">
        <v>8175.0</v>
      </c>
    </row>
    <row r="20">
      <c r="A20" s="8" t="str">
        <f t="shared" si="1"/>
        <v>Q1</v>
      </c>
      <c r="B20" s="8">
        <f t="shared" si="2"/>
        <v>45379</v>
      </c>
      <c r="C20" s="10" t="s">
        <v>278</v>
      </c>
      <c r="D20" s="10" t="s">
        <v>426</v>
      </c>
      <c r="E20" s="10" t="s">
        <v>72</v>
      </c>
      <c r="F20" s="10">
        <v>19.0</v>
      </c>
      <c r="G20" s="12" t="s">
        <v>429</v>
      </c>
      <c r="H20" s="10" t="s">
        <v>427</v>
      </c>
      <c r="I20" s="13" t="s">
        <v>546</v>
      </c>
      <c r="J20" s="10">
        <v>4845.0</v>
      </c>
      <c r="K20" s="10">
        <f t="shared" si="3"/>
        <v>31</v>
      </c>
      <c r="L20" s="14">
        <f t="shared" si="4"/>
        <v>0.006398348813</v>
      </c>
      <c r="M20" s="10">
        <v>30.0</v>
      </c>
      <c r="N20" s="10">
        <v>0.0</v>
      </c>
      <c r="O20" s="10">
        <v>1.0</v>
      </c>
      <c r="P20" s="10">
        <v>41.0</v>
      </c>
      <c r="Q20" s="10">
        <v>0.0</v>
      </c>
    </row>
    <row r="21">
      <c r="A21" s="8" t="str">
        <f t="shared" si="1"/>
        <v>Q1</v>
      </c>
      <c r="B21" s="8">
        <f t="shared" si="2"/>
        <v>45380</v>
      </c>
      <c r="C21" s="10" t="s">
        <v>278</v>
      </c>
      <c r="D21" s="10" t="s">
        <v>547</v>
      </c>
      <c r="E21" s="10" t="s">
        <v>502</v>
      </c>
      <c r="F21" s="10">
        <v>20.0</v>
      </c>
      <c r="G21" s="45" t="s">
        <v>162</v>
      </c>
      <c r="H21" s="10" t="s">
        <v>548</v>
      </c>
      <c r="I21" s="13" t="s">
        <v>549</v>
      </c>
      <c r="J21" s="10">
        <v>8951.0</v>
      </c>
      <c r="K21" s="10">
        <f t="shared" si="3"/>
        <v>94</v>
      </c>
      <c r="L21" s="14">
        <f t="shared" si="4"/>
        <v>0.01050161993</v>
      </c>
      <c r="M21" s="10">
        <v>89.0</v>
      </c>
      <c r="N21" s="10">
        <v>0.0</v>
      </c>
      <c r="O21" s="10">
        <v>5.0</v>
      </c>
      <c r="P21" s="10">
        <v>92.0</v>
      </c>
      <c r="Q21" s="10">
        <v>2156.0</v>
      </c>
    </row>
    <row r="22">
      <c r="A22" s="8" t="str">
        <f t="shared" si="1"/>
        <v>Q2</v>
      </c>
      <c r="B22" s="8">
        <f t="shared" si="2"/>
        <v>45384</v>
      </c>
      <c r="C22" s="10" t="s">
        <v>278</v>
      </c>
      <c r="D22" s="10" t="s">
        <v>433</v>
      </c>
      <c r="E22" s="10" t="s">
        <v>502</v>
      </c>
      <c r="F22" s="10">
        <v>21.0</v>
      </c>
      <c r="G22" s="12" t="s">
        <v>436</v>
      </c>
      <c r="H22" s="10" t="s">
        <v>434</v>
      </c>
      <c r="I22" s="13" t="s">
        <v>550</v>
      </c>
      <c r="J22" s="10">
        <v>18150.0</v>
      </c>
      <c r="K22" s="10">
        <f t="shared" si="3"/>
        <v>330</v>
      </c>
      <c r="L22" s="14">
        <f t="shared" si="4"/>
        <v>0.01818181818</v>
      </c>
      <c r="M22" s="10">
        <v>303.0</v>
      </c>
      <c r="N22" s="10">
        <v>1.0</v>
      </c>
      <c r="O22" s="10">
        <v>26.0</v>
      </c>
      <c r="P22" s="10">
        <v>279.0</v>
      </c>
      <c r="Q22" s="10">
        <v>6289.0</v>
      </c>
    </row>
    <row r="23">
      <c r="A23" s="8" t="str">
        <f t="shared" si="1"/>
        <v>Q2</v>
      </c>
      <c r="B23" s="8">
        <f t="shared" si="2"/>
        <v>45386</v>
      </c>
      <c r="C23" s="10" t="s">
        <v>278</v>
      </c>
      <c r="D23" s="10" t="s">
        <v>551</v>
      </c>
      <c r="E23" s="10" t="s">
        <v>72</v>
      </c>
      <c r="F23" s="10">
        <v>22.0</v>
      </c>
      <c r="G23" s="12" t="s">
        <v>552</v>
      </c>
      <c r="H23" s="10" t="s">
        <v>553</v>
      </c>
      <c r="I23" s="13" t="s">
        <v>554</v>
      </c>
      <c r="J23" s="10">
        <v>8819.0</v>
      </c>
      <c r="K23" s="10">
        <f t="shared" si="3"/>
        <v>53</v>
      </c>
      <c r="L23" s="14">
        <f t="shared" si="4"/>
        <v>0.006009751673</v>
      </c>
      <c r="M23" s="10">
        <v>46.0</v>
      </c>
      <c r="N23" s="10">
        <v>4.0</v>
      </c>
      <c r="O23" s="10">
        <v>3.0</v>
      </c>
      <c r="P23" s="10">
        <v>96.0</v>
      </c>
      <c r="Q23" s="10">
        <v>0.0</v>
      </c>
    </row>
    <row r="24">
      <c r="A24" s="8" t="str">
        <f t="shared" si="1"/>
        <v>Q2</v>
      </c>
      <c r="B24" s="8">
        <f t="shared" si="2"/>
        <v>45387</v>
      </c>
      <c r="C24" s="10" t="s">
        <v>278</v>
      </c>
      <c r="D24" s="10" t="s">
        <v>555</v>
      </c>
      <c r="E24" s="10" t="s">
        <v>502</v>
      </c>
      <c r="F24" s="10">
        <v>23.0</v>
      </c>
      <c r="G24" s="45" t="s">
        <v>162</v>
      </c>
      <c r="H24" s="10" t="s">
        <v>556</v>
      </c>
      <c r="I24" s="13" t="s">
        <v>557</v>
      </c>
      <c r="J24" s="10">
        <v>11439.0</v>
      </c>
      <c r="K24" s="10">
        <f t="shared" si="3"/>
        <v>97</v>
      </c>
      <c r="L24" s="14">
        <f t="shared" si="4"/>
        <v>0.008479762217</v>
      </c>
      <c r="M24" s="10">
        <v>84.0</v>
      </c>
      <c r="N24" s="10">
        <v>0.0</v>
      </c>
      <c r="O24" s="10">
        <v>13.0</v>
      </c>
      <c r="P24" s="10">
        <v>133.0</v>
      </c>
      <c r="Q24" s="10">
        <v>3342.0</v>
      </c>
    </row>
    <row r="25">
      <c r="A25" s="8" t="str">
        <f t="shared" si="1"/>
        <v>Q2</v>
      </c>
      <c r="B25" s="8">
        <f t="shared" si="2"/>
        <v>45399</v>
      </c>
      <c r="C25" s="10" t="s">
        <v>278</v>
      </c>
      <c r="D25" s="10" t="s">
        <v>558</v>
      </c>
      <c r="E25" s="10" t="s">
        <v>502</v>
      </c>
      <c r="F25" s="10">
        <v>24.0</v>
      </c>
      <c r="G25" s="12" t="s">
        <v>181</v>
      </c>
      <c r="H25" s="10" t="s">
        <v>444</v>
      </c>
      <c r="I25" s="13" t="s">
        <v>559</v>
      </c>
      <c r="J25" s="10">
        <v>14741.0</v>
      </c>
      <c r="K25" s="10">
        <f t="shared" si="3"/>
        <v>195</v>
      </c>
      <c r="L25" s="14">
        <f t="shared" si="4"/>
        <v>0.01322841056</v>
      </c>
      <c r="M25" s="10">
        <v>163.0</v>
      </c>
      <c r="N25" s="10">
        <v>3.0</v>
      </c>
      <c r="O25" s="10">
        <v>29.0</v>
      </c>
      <c r="P25" s="10">
        <v>268.0</v>
      </c>
      <c r="Q25" s="10">
        <v>14645.0</v>
      </c>
    </row>
    <row r="26">
      <c r="A26" s="8" t="str">
        <f t="shared" si="1"/>
        <v>Q2</v>
      </c>
      <c r="B26" s="8">
        <f t="shared" si="2"/>
        <v>45400</v>
      </c>
      <c r="C26" s="10" t="s">
        <v>278</v>
      </c>
      <c r="D26" s="10" t="s">
        <v>446</v>
      </c>
      <c r="E26" s="10" t="s">
        <v>72</v>
      </c>
      <c r="F26" s="10">
        <v>25.0</v>
      </c>
      <c r="G26" s="12" t="s">
        <v>181</v>
      </c>
      <c r="H26" s="10" t="s">
        <v>447</v>
      </c>
      <c r="I26" s="13" t="s">
        <v>560</v>
      </c>
      <c r="J26" s="10">
        <v>11579.0</v>
      </c>
      <c r="K26" s="10">
        <f t="shared" si="3"/>
        <v>210</v>
      </c>
      <c r="L26" s="14">
        <f t="shared" si="4"/>
        <v>0.0181362812</v>
      </c>
      <c r="M26" s="10">
        <v>180.0</v>
      </c>
      <c r="N26" s="10">
        <v>5.0</v>
      </c>
      <c r="O26" s="10">
        <v>25.0</v>
      </c>
      <c r="P26" s="10">
        <v>591.0</v>
      </c>
      <c r="Q26" s="10">
        <v>0.0</v>
      </c>
    </row>
    <row r="27">
      <c r="A27" s="8" t="str">
        <f t="shared" si="1"/>
        <v>Q2</v>
      </c>
      <c r="B27" s="8">
        <f t="shared" si="2"/>
        <v>45404</v>
      </c>
      <c r="C27" s="10" t="s">
        <v>278</v>
      </c>
      <c r="D27" s="10" t="s">
        <v>561</v>
      </c>
      <c r="E27" s="10" t="s">
        <v>502</v>
      </c>
      <c r="F27" s="10">
        <v>26.0</v>
      </c>
      <c r="G27" s="12" t="s">
        <v>452</v>
      </c>
      <c r="H27" s="10" t="s">
        <v>562</v>
      </c>
      <c r="I27" s="13" t="s">
        <v>563</v>
      </c>
      <c r="J27" s="10">
        <v>19291.0</v>
      </c>
      <c r="K27" s="10">
        <f t="shared" si="3"/>
        <v>350</v>
      </c>
      <c r="L27" s="14">
        <f t="shared" si="4"/>
        <v>0.01814317557</v>
      </c>
      <c r="M27" s="10">
        <v>309.0</v>
      </c>
      <c r="N27" s="10">
        <v>2.0</v>
      </c>
      <c r="O27" s="10">
        <v>39.0</v>
      </c>
      <c r="P27" s="10">
        <v>501.0</v>
      </c>
      <c r="Q27" s="10">
        <v>9068.0</v>
      </c>
    </row>
    <row r="28">
      <c r="A28" s="8" t="str">
        <f t="shared" si="1"/>
        <v>Q2</v>
      </c>
      <c r="B28" s="8">
        <f t="shared" si="2"/>
        <v>45404</v>
      </c>
      <c r="C28" s="10" t="s">
        <v>278</v>
      </c>
      <c r="D28" s="10" t="s">
        <v>449</v>
      </c>
      <c r="E28" s="10" t="s">
        <v>72</v>
      </c>
      <c r="F28" s="10">
        <v>27.0</v>
      </c>
      <c r="G28" s="12" t="s">
        <v>452</v>
      </c>
      <c r="H28" s="10" t="s">
        <v>564</v>
      </c>
      <c r="I28" s="13" t="s">
        <v>565</v>
      </c>
      <c r="J28" s="10">
        <v>12500.0</v>
      </c>
      <c r="K28" s="10">
        <f t="shared" si="3"/>
        <v>201</v>
      </c>
      <c r="L28" s="14">
        <f t="shared" si="4"/>
        <v>0.01608</v>
      </c>
      <c r="M28" s="10">
        <v>185.0</v>
      </c>
      <c r="N28" s="10">
        <v>1.0</v>
      </c>
      <c r="O28" s="10">
        <v>15.0</v>
      </c>
      <c r="P28" s="10">
        <v>1073.0</v>
      </c>
      <c r="Q28" s="10">
        <v>0.0</v>
      </c>
    </row>
    <row r="29">
      <c r="A29" s="8" t="str">
        <f t="shared" si="1"/>
        <v>Q2</v>
      </c>
      <c r="B29" s="8">
        <f t="shared" si="2"/>
        <v>45412</v>
      </c>
      <c r="C29" s="10" t="s">
        <v>278</v>
      </c>
      <c r="D29" s="10" t="s">
        <v>566</v>
      </c>
      <c r="E29" s="10" t="s">
        <v>72</v>
      </c>
      <c r="F29" s="10">
        <v>28.0</v>
      </c>
      <c r="G29" s="12" t="s">
        <v>494</v>
      </c>
      <c r="H29" s="10" t="s">
        <v>567</v>
      </c>
      <c r="I29" s="13" t="s">
        <v>568</v>
      </c>
      <c r="J29" s="10">
        <v>20399.0</v>
      </c>
      <c r="K29" s="10">
        <f t="shared" si="3"/>
        <v>608</v>
      </c>
      <c r="L29" s="14">
        <f t="shared" si="4"/>
        <v>0.02980538262</v>
      </c>
      <c r="M29" s="10">
        <v>561.0</v>
      </c>
      <c r="N29" s="10">
        <v>10.0</v>
      </c>
      <c r="O29" s="10">
        <v>37.0</v>
      </c>
      <c r="P29" s="10">
        <v>582.0</v>
      </c>
      <c r="Q29" s="10">
        <v>0.0</v>
      </c>
    </row>
    <row r="30">
      <c r="A30" s="8" t="str">
        <f t="shared" si="1"/>
        <v>Q2</v>
      </c>
      <c r="B30" s="8">
        <f t="shared" si="2"/>
        <v>45422</v>
      </c>
      <c r="C30" s="10" t="s">
        <v>278</v>
      </c>
      <c r="D30" s="10" t="s">
        <v>569</v>
      </c>
      <c r="E30" s="10" t="s">
        <v>72</v>
      </c>
      <c r="F30" s="10">
        <v>29.0</v>
      </c>
      <c r="G30" s="12" t="s">
        <v>552</v>
      </c>
      <c r="H30" s="10" t="s">
        <v>570</v>
      </c>
      <c r="I30" s="13" t="s">
        <v>571</v>
      </c>
      <c r="J30" s="10">
        <v>24031.0</v>
      </c>
      <c r="K30" s="10">
        <f t="shared" si="3"/>
        <v>524</v>
      </c>
      <c r="L30" s="14">
        <f t="shared" si="4"/>
        <v>0.02180516832</v>
      </c>
      <c r="M30" s="10">
        <v>489.0</v>
      </c>
      <c r="N30" s="10">
        <v>14.0</v>
      </c>
      <c r="O30" s="10">
        <v>21.0</v>
      </c>
      <c r="P30" s="10">
        <v>2426.0</v>
      </c>
      <c r="Q30" s="10">
        <v>0.0</v>
      </c>
    </row>
    <row r="31">
      <c r="A31" s="8" t="str">
        <f t="shared" si="1"/>
        <v>Q2</v>
      </c>
      <c r="B31" s="8">
        <f t="shared" si="2"/>
        <v>45422</v>
      </c>
      <c r="C31" s="10" t="s">
        <v>278</v>
      </c>
      <c r="D31" s="10" t="s">
        <v>572</v>
      </c>
      <c r="E31" s="10" t="s">
        <v>72</v>
      </c>
      <c r="F31" s="10">
        <v>30.0</v>
      </c>
      <c r="G31" s="45" t="s">
        <v>573</v>
      </c>
      <c r="H31" s="10" t="s">
        <v>454</v>
      </c>
      <c r="I31" s="13" t="s">
        <v>574</v>
      </c>
      <c r="J31" s="10">
        <v>15117.0</v>
      </c>
      <c r="K31" s="10">
        <f t="shared" si="3"/>
        <v>268</v>
      </c>
      <c r="L31" s="14">
        <f t="shared" si="4"/>
        <v>0.01772838526</v>
      </c>
      <c r="M31" s="10">
        <v>247.0</v>
      </c>
      <c r="N31" s="10">
        <v>4.0</v>
      </c>
      <c r="O31" s="10">
        <v>17.0</v>
      </c>
      <c r="P31" s="10">
        <v>992.0</v>
      </c>
      <c r="Q31" s="10">
        <v>0.0</v>
      </c>
    </row>
    <row r="32">
      <c r="A32" s="8" t="str">
        <f t="shared" si="1"/>
        <v>Q2</v>
      </c>
      <c r="B32" s="8">
        <f t="shared" si="2"/>
        <v>45425</v>
      </c>
      <c r="C32" s="10" t="s">
        <v>278</v>
      </c>
      <c r="D32" s="10" t="s">
        <v>575</v>
      </c>
      <c r="E32" s="10" t="s">
        <v>72</v>
      </c>
      <c r="F32" s="10">
        <v>31.0</v>
      </c>
      <c r="G32" s="45" t="s">
        <v>573</v>
      </c>
      <c r="H32" s="10" t="s">
        <v>457</v>
      </c>
      <c r="I32" s="13" t="s">
        <v>576</v>
      </c>
      <c r="J32" s="10">
        <v>14771.0</v>
      </c>
      <c r="K32" s="10">
        <f t="shared" si="3"/>
        <v>259</v>
      </c>
      <c r="L32" s="14">
        <f t="shared" si="4"/>
        <v>0.01753435786</v>
      </c>
      <c r="M32" s="10">
        <v>240.0</v>
      </c>
      <c r="N32" s="10">
        <v>2.0</v>
      </c>
      <c r="O32" s="10">
        <v>17.0</v>
      </c>
      <c r="P32" s="10">
        <v>914.0</v>
      </c>
      <c r="Q32" s="10">
        <v>0.0</v>
      </c>
    </row>
    <row r="33">
      <c r="A33" s="8" t="str">
        <f t="shared" si="1"/>
        <v>Q2</v>
      </c>
      <c r="B33" s="8">
        <f t="shared" si="2"/>
        <v>45426</v>
      </c>
      <c r="C33" s="10" t="s">
        <v>278</v>
      </c>
      <c r="D33" s="10" t="s">
        <v>577</v>
      </c>
      <c r="E33" s="10" t="s">
        <v>72</v>
      </c>
      <c r="F33" s="10">
        <v>32.0</v>
      </c>
      <c r="G33" s="12" t="s">
        <v>526</v>
      </c>
      <c r="H33" s="10" t="s">
        <v>578</v>
      </c>
      <c r="I33" s="13" t="s">
        <v>579</v>
      </c>
      <c r="J33" s="10">
        <v>23700.0</v>
      </c>
      <c r="K33" s="10">
        <f t="shared" si="3"/>
        <v>592</v>
      </c>
      <c r="L33" s="14">
        <f t="shared" si="4"/>
        <v>0.02497890295</v>
      </c>
      <c r="M33" s="10">
        <v>548.0</v>
      </c>
      <c r="N33" s="10">
        <v>8.0</v>
      </c>
      <c r="O33" s="10">
        <v>36.0</v>
      </c>
      <c r="P33" s="10">
        <v>2077.0</v>
      </c>
      <c r="Q33" s="10">
        <v>0.0</v>
      </c>
    </row>
    <row r="34">
      <c r="A34" s="8" t="str">
        <f t="shared" si="1"/>
        <v>Q2</v>
      </c>
      <c r="B34" s="8">
        <f t="shared" si="2"/>
        <v>45434</v>
      </c>
      <c r="C34" s="10" t="s">
        <v>278</v>
      </c>
      <c r="D34" s="10" t="s">
        <v>580</v>
      </c>
      <c r="E34" s="10" t="s">
        <v>72</v>
      </c>
      <c r="F34" s="10">
        <v>33.0</v>
      </c>
      <c r="G34" s="45" t="s">
        <v>573</v>
      </c>
      <c r="H34" s="10" t="s">
        <v>581</v>
      </c>
      <c r="I34" s="13" t="s">
        <v>582</v>
      </c>
      <c r="J34" s="10">
        <v>8934.0</v>
      </c>
      <c r="K34" s="10">
        <f t="shared" si="3"/>
        <v>199</v>
      </c>
      <c r="L34" s="14">
        <f t="shared" si="4"/>
        <v>0.02227445713</v>
      </c>
      <c r="M34" s="10">
        <v>184.0</v>
      </c>
      <c r="N34" s="10">
        <v>2.0</v>
      </c>
      <c r="O34" s="10">
        <v>13.0</v>
      </c>
      <c r="P34" s="10">
        <v>154.0</v>
      </c>
      <c r="Q34" s="10">
        <v>0.0</v>
      </c>
    </row>
    <row r="35">
      <c r="A35" s="8" t="str">
        <f t="shared" si="1"/>
        <v>Q2</v>
      </c>
      <c r="B35" s="8">
        <f t="shared" si="2"/>
        <v>45434</v>
      </c>
      <c r="C35" s="10" t="s">
        <v>278</v>
      </c>
      <c r="D35" s="10" t="s">
        <v>583</v>
      </c>
      <c r="E35" s="10" t="s">
        <v>502</v>
      </c>
      <c r="F35" s="10">
        <v>34.0</v>
      </c>
      <c r="G35" s="12" t="s">
        <v>120</v>
      </c>
      <c r="H35" s="10" t="s">
        <v>222</v>
      </c>
      <c r="I35" s="13" t="s">
        <v>584</v>
      </c>
      <c r="J35" s="10">
        <v>12546.0</v>
      </c>
      <c r="K35" s="10">
        <f t="shared" si="3"/>
        <v>142</v>
      </c>
      <c r="L35" s="14">
        <f t="shared" si="4"/>
        <v>0.01131834848</v>
      </c>
      <c r="M35" s="10">
        <v>128.0</v>
      </c>
      <c r="N35" s="10">
        <v>1.0</v>
      </c>
      <c r="O35" s="10">
        <v>13.0</v>
      </c>
      <c r="P35" s="10">
        <v>329.0</v>
      </c>
      <c r="Q35" s="10">
        <v>5395.0</v>
      </c>
    </row>
    <row r="36">
      <c r="A36" s="8" t="str">
        <f t="shared" si="1"/>
        <v>Q2</v>
      </c>
      <c r="B36" s="8">
        <f t="shared" si="2"/>
        <v>45442</v>
      </c>
      <c r="C36" s="10" t="s">
        <v>278</v>
      </c>
      <c r="D36" s="10" t="s">
        <v>585</v>
      </c>
      <c r="E36" s="10" t="s">
        <v>72</v>
      </c>
      <c r="F36" s="10">
        <v>35.0</v>
      </c>
      <c r="G36" s="12" t="s">
        <v>586</v>
      </c>
      <c r="H36" s="10" t="s">
        <v>587</v>
      </c>
      <c r="I36" s="13" t="s">
        <v>588</v>
      </c>
      <c r="J36" s="10">
        <v>48733.0</v>
      </c>
      <c r="K36" s="10">
        <f t="shared" si="3"/>
        <v>1168</v>
      </c>
      <c r="L36" s="14">
        <f t="shared" si="4"/>
        <v>0.0239673322</v>
      </c>
      <c r="M36" s="10">
        <v>1096.0</v>
      </c>
      <c r="N36" s="10">
        <v>29.0</v>
      </c>
      <c r="O36" s="10">
        <v>43.0</v>
      </c>
      <c r="P36" s="10">
        <v>5037.0</v>
      </c>
      <c r="Q36" s="10">
        <v>0.0</v>
      </c>
    </row>
    <row r="37">
      <c r="A37" s="8" t="str">
        <f t="shared" si="1"/>
        <v>Q2</v>
      </c>
      <c r="B37" s="8">
        <f t="shared" si="2"/>
        <v>45442</v>
      </c>
      <c r="C37" s="10" t="s">
        <v>278</v>
      </c>
      <c r="D37" s="10" t="s">
        <v>589</v>
      </c>
      <c r="E37" s="10" t="s">
        <v>502</v>
      </c>
      <c r="F37" s="10">
        <v>36.0</v>
      </c>
      <c r="G37" s="12" t="s">
        <v>225</v>
      </c>
      <c r="H37" s="10" t="s">
        <v>590</v>
      </c>
      <c r="I37" s="13" t="s">
        <v>591</v>
      </c>
      <c r="J37" s="10">
        <v>19005.0</v>
      </c>
      <c r="K37" s="10">
        <f t="shared" si="3"/>
        <v>322</v>
      </c>
      <c r="L37" s="14">
        <f t="shared" si="4"/>
        <v>0.01694290976</v>
      </c>
      <c r="M37" s="10">
        <v>300.0</v>
      </c>
      <c r="N37" s="10">
        <v>1.0</v>
      </c>
      <c r="O37" s="10">
        <v>21.0</v>
      </c>
      <c r="P37" s="10">
        <v>614.0</v>
      </c>
      <c r="Q37" s="10">
        <v>7771.0</v>
      </c>
    </row>
    <row r="38">
      <c r="A38" s="8" t="str">
        <f t="shared" si="1"/>
        <v>Q2</v>
      </c>
      <c r="B38" s="8">
        <f t="shared" si="2"/>
        <v>45442</v>
      </c>
      <c r="C38" s="10" t="s">
        <v>278</v>
      </c>
      <c r="D38" s="10" t="s">
        <v>592</v>
      </c>
      <c r="E38" s="10" t="s">
        <v>502</v>
      </c>
      <c r="F38" s="10">
        <v>37.0</v>
      </c>
      <c r="G38" s="12" t="s">
        <v>593</v>
      </c>
      <c r="H38" s="10" t="s">
        <v>463</v>
      </c>
      <c r="I38" s="13" t="s">
        <v>594</v>
      </c>
      <c r="J38" s="10">
        <v>7937.0</v>
      </c>
      <c r="K38" s="10">
        <f t="shared" si="3"/>
        <v>155</v>
      </c>
      <c r="L38" s="14">
        <f t="shared" si="4"/>
        <v>0.01952878922</v>
      </c>
      <c r="M38" s="10">
        <v>140.0</v>
      </c>
      <c r="N38" s="10">
        <v>0.0</v>
      </c>
      <c r="O38" s="10">
        <v>15.0</v>
      </c>
      <c r="P38" s="10">
        <v>193.0</v>
      </c>
      <c r="Q38" s="10">
        <v>2904.0</v>
      </c>
    </row>
    <row r="39">
      <c r="A39" s="8" t="str">
        <f t="shared" si="1"/>
        <v>Q2</v>
      </c>
      <c r="B39" s="8">
        <f t="shared" si="2"/>
        <v>45443</v>
      </c>
      <c r="C39" s="10" t="s">
        <v>278</v>
      </c>
      <c r="D39" s="10" t="s">
        <v>466</v>
      </c>
      <c r="E39" s="10" t="s">
        <v>502</v>
      </c>
      <c r="F39" s="10">
        <v>38.0</v>
      </c>
      <c r="G39" s="12" t="s">
        <v>593</v>
      </c>
      <c r="H39" s="10" t="s">
        <v>467</v>
      </c>
      <c r="I39" s="13" t="s">
        <v>595</v>
      </c>
      <c r="J39" s="10">
        <v>11808.0</v>
      </c>
      <c r="K39" s="10">
        <f t="shared" si="3"/>
        <v>176</v>
      </c>
      <c r="L39" s="14">
        <f t="shared" si="4"/>
        <v>0.01490514905</v>
      </c>
      <c r="M39" s="10">
        <v>168.0</v>
      </c>
      <c r="N39" s="10">
        <v>2.0</v>
      </c>
      <c r="O39" s="10">
        <v>6.0</v>
      </c>
      <c r="P39" s="10">
        <v>312.0</v>
      </c>
      <c r="Q39" s="10">
        <v>3407.0</v>
      </c>
    </row>
    <row r="40">
      <c r="A40" s="8" t="str">
        <f t="shared" si="1"/>
        <v>Q2</v>
      </c>
      <c r="B40" s="8">
        <f t="shared" si="2"/>
        <v>45448</v>
      </c>
      <c r="C40" s="10" t="s">
        <v>278</v>
      </c>
      <c r="D40" s="10" t="s">
        <v>596</v>
      </c>
      <c r="E40" s="10" t="s">
        <v>502</v>
      </c>
      <c r="F40" s="10">
        <v>39.0</v>
      </c>
      <c r="G40" s="12" t="s">
        <v>452</v>
      </c>
      <c r="H40" s="10" t="s">
        <v>597</v>
      </c>
      <c r="I40" s="13" t="s">
        <v>598</v>
      </c>
      <c r="J40" s="10">
        <v>12316.0</v>
      </c>
      <c r="K40" s="10">
        <f t="shared" si="3"/>
        <v>126</v>
      </c>
      <c r="L40" s="14">
        <f t="shared" si="4"/>
        <v>0.01023059435</v>
      </c>
      <c r="M40" s="10">
        <v>121.0</v>
      </c>
      <c r="N40" s="10">
        <v>1.0</v>
      </c>
      <c r="O40" s="10">
        <v>4.0</v>
      </c>
      <c r="P40" s="10">
        <v>271.0</v>
      </c>
      <c r="Q40" s="10">
        <v>3924.0</v>
      </c>
    </row>
    <row r="41">
      <c r="A41" s="8" t="str">
        <f t="shared" si="1"/>
        <v>Q2</v>
      </c>
      <c r="B41" s="8">
        <f t="shared" si="2"/>
        <v>45449</v>
      </c>
      <c r="C41" s="10" t="s">
        <v>278</v>
      </c>
      <c r="D41" s="10" t="s">
        <v>599</v>
      </c>
      <c r="E41" s="10" t="s">
        <v>502</v>
      </c>
      <c r="F41" s="10">
        <v>40.0</v>
      </c>
      <c r="G41" s="12" t="s">
        <v>600</v>
      </c>
      <c r="H41" s="10" t="s">
        <v>601</v>
      </c>
      <c r="I41" s="13" t="s">
        <v>602</v>
      </c>
      <c r="J41" s="10">
        <v>8498.0</v>
      </c>
      <c r="K41" s="10">
        <f t="shared" si="3"/>
        <v>96</v>
      </c>
      <c r="L41" s="14">
        <f t="shared" si="4"/>
        <v>0.01129677571</v>
      </c>
      <c r="M41" s="10">
        <v>83.0</v>
      </c>
      <c r="N41" s="10">
        <v>4.0</v>
      </c>
      <c r="O41" s="10">
        <v>9.0</v>
      </c>
      <c r="P41" s="10">
        <v>218.0</v>
      </c>
      <c r="Q41" s="10">
        <v>2368.0</v>
      </c>
    </row>
    <row r="42">
      <c r="A42" s="8" t="str">
        <f t="shared" si="1"/>
        <v>Q2</v>
      </c>
      <c r="B42" s="8">
        <f t="shared" si="2"/>
        <v>45455</v>
      </c>
      <c r="C42" s="10" t="s">
        <v>278</v>
      </c>
      <c r="D42" s="10" t="s">
        <v>603</v>
      </c>
      <c r="E42" s="10" t="s">
        <v>72</v>
      </c>
      <c r="F42" s="10">
        <v>41.0</v>
      </c>
      <c r="G42" s="12" t="s">
        <v>540</v>
      </c>
      <c r="H42" s="10" t="s">
        <v>604</v>
      </c>
      <c r="I42" s="13" t="s">
        <v>605</v>
      </c>
      <c r="J42" s="10">
        <v>16458.0</v>
      </c>
      <c r="K42" s="10">
        <f t="shared" si="3"/>
        <v>196</v>
      </c>
      <c r="L42" s="14">
        <f t="shared" si="4"/>
        <v>0.01190910196</v>
      </c>
      <c r="M42" s="10">
        <v>183.0</v>
      </c>
      <c r="N42" s="10">
        <v>10.0</v>
      </c>
      <c r="O42" s="10">
        <v>3.0</v>
      </c>
      <c r="P42" s="10">
        <v>537.0</v>
      </c>
      <c r="Q42" s="10">
        <v>0.0</v>
      </c>
    </row>
    <row r="43">
      <c r="A43" s="8" t="str">
        <f t="shared" si="1"/>
        <v>Q2</v>
      </c>
      <c r="B43" s="8">
        <f t="shared" si="2"/>
        <v>45455</v>
      </c>
      <c r="C43" s="10" t="s">
        <v>278</v>
      </c>
      <c r="D43" s="10" t="s">
        <v>606</v>
      </c>
      <c r="E43" s="10" t="s">
        <v>72</v>
      </c>
      <c r="F43" s="10">
        <v>42.0</v>
      </c>
      <c r="G43" s="12" t="s">
        <v>607</v>
      </c>
      <c r="H43" s="10" t="s">
        <v>608</v>
      </c>
      <c r="I43" s="13" t="s">
        <v>609</v>
      </c>
      <c r="J43" s="10">
        <v>11046.0</v>
      </c>
      <c r="K43" s="10">
        <f t="shared" si="3"/>
        <v>162</v>
      </c>
      <c r="L43" s="14">
        <f t="shared" si="4"/>
        <v>0.01466594242</v>
      </c>
      <c r="M43" s="10">
        <v>145.0</v>
      </c>
      <c r="N43" s="10">
        <v>5.0</v>
      </c>
      <c r="O43" s="10">
        <v>12.0</v>
      </c>
      <c r="P43" s="10">
        <v>220.0</v>
      </c>
      <c r="Q43" s="10">
        <v>0.0</v>
      </c>
    </row>
    <row r="44">
      <c r="A44" s="8" t="str">
        <f t="shared" si="1"/>
        <v>Q2</v>
      </c>
      <c r="B44" s="8">
        <f t="shared" si="2"/>
        <v>45457</v>
      </c>
      <c r="C44" s="10" t="s">
        <v>278</v>
      </c>
      <c r="D44" s="10" t="s">
        <v>247</v>
      </c>
      <c r="E44" s="10" t="s">
        <v>502</v>
      </c>
      <c r="F44" s="10">
        <v>43.0</v>
      </c>
      <c r="G44" s="12" t="s">
        <v>540</v>
      </c>
      <c r="H44" s="10" t="s">
        <v>610</v>
      </c>
      <c r="I44" s="13" t="s">
        <v>611</v>
      </c>
      <c r="J44" s="10">
        <v>16687.0</v>
      </c>
      <c r="K44" s="10">
        <f t="shared" si="3"/>
        <v>705</v>
      </c>
      <c r="L44" s="14">
        <f t="shared" si="4"/>
        <v>0.04224845688</v>
      </c>
      <c r="M44" s="10">
        <v>602.0</v>
      </c>
      <c r="N44" s="10">
        <v>41.0</v>
      </c>
      <c r="O44" s="10">
        <v>62.0</v>
      </c>
      <c r="P44" s="10">
        <v>585.0</v>
      </c>
      <c r="Q44" s="10">
        <v>34382.0</v>
      </c>
    </row>
    <row r="45">
      <c r="A45" s="8" t="str">
        <f t="shared" si="1"/>
        <v>Q2</v>
      </c>
      <c r="B45" s="8">
        <f t="shared" si="2"/>
        <v>45460</v>
      </c>
      <c r="C45" s="10" t="s">
        <v>278</v>
      </c>
      <c r="D45" s="10" t="s">
        <v>612</v>
      </c>
      <c r="E45" s="10" t="s">
        <v>502</v>
      </c>
      <c r="F45" s="10">
        <v>44.0</v>
      </c>
      <c r="G45" s="12" t="s">
        <v>480</v>
      </c>
      <c r="H45" s="10" t="s">
        <v>613</v>
      </c>
      <c r="I45" s="13" t="s">
        <v>614</v>
      </c>
      <c r="J45" s="10">
        <v>28278.0</v>
      </c>
      <c r="K45" s="10">
        <f t="shared" si="3"/>
        <v>526</v>
      </c>
      <c r="L45" s="14">
        <f t="shared" si="4"/>
        <v>0.0186010326</v>
      </c>
      <c r="M45" s="10">
        <v>448.0</v>
      </c>
      <c r="N45" s="10">
        <v>12.0</v>
      </c>
      <c r="O45" s="10">
        <v>66.0</v>
      </c>
      <c r="P45" s="10">
        <v>1225.0</v>
      </c>
      <c r="Q45" s="10">
        <v>14876.0</v>
      </c>
    </row>
    <row r="46">
      <c r="A46" s="8" t="str">
        <f t="shared" si="1"/>
        <v>Q2</v>
      </c>
      <c r="B46" s="8">
        <f t="shared" si="2"/>
        <v>45461</v>
      </c>
      <c r="C46" s="10" t="s">
        <v>278</v>
      </c>
      <c r="D46" s="10" t="s">
        <v>257</v>
      </c>
      <c r="E46" s="10" t="s">
        <v>502</v>
      </c>
      <c r="F46" s="10">
        <v>45.0</v>
      </c>
      <c r="G46" s="12" t="s">
        <v>258</v>
      </c>
      <c r="H46" s="10" t="s">
        <v>472</v>
      </c>
      <c r="I46" s="13" t="s">
        <v>615</v>
      </c>
      <c r="J46" s="10">
        <v>25710.0</v>
      </c>
      <c r="K46" s="10">
        <f t="shared" si="3"/>
        <v>439</v>
      </c>
      <c r="L46" s="14">
        <f t="shared" si="4"/>
        <v>0.01707506807</v>
      </c>
      <c r="M46" s="10">
        <v>393.0</v>
      </c>
      <c r="N46" s="10">
        <v>6.0</v>
      </c>
      <c r="O46" s="10">
        <v>40.0</v>
      </c>
      <c r="P46" s="10">
        <v>897.0</v>
      </c>
      <c r="Q46" s="10">
        <v>10002.0</v>
      </c>
    </row>
    <row r="47">
      <c r="A47" s="8" t="str">
        <f t="shared" si="1"/>
        <v>Q2</v>
      </c>
      <c r="B47" s="8">
        <f t="shared" si="2"/>
        <v>45463</v>
      </c>
      <c r="C47" s="10" t="s">
        <v>278</v>
      </c>
      <c r="D47" s="10" t="s">
        <v>474</v>
      </c>
      <c r="E47" s="10" t="s">
        <v>72</v>
      </c>
      <c r="F47" s="10">
        <v>46.0</v>
      </c>
      <c r="G47" s="12" t="s">
        <v>258</v>
      </c>
      <c r="H47" s="10" t="s">
        <v>475</v>
      </c>
      <c r="I47" s="13" t="s">
        <v>616</v>
      </c>
      <c r="J47" s="10">
        <v>19109.0</v>
      </c>
      <c r="K47" s="10">
        <f t="shared" si="3"/>
        <v>300</v>
      </c>
      <c r="L47" s="14">
        <f t="shared" si="4"/>
        <v>0.01569940866</v>
      </c>
      <c r="M47" s="10">
        <v>282.0</v>
      </c>
      <c r="N47" s="10">
        <v>7.0</v>
      </c>
      <c r="O47" s="10">
        <v>11.0</v>
      </c>
      <c r="P47" s="10">
        <v>2626.0</v>
      </c>
      <c r="Q47" s="10">
        <v>0.0</v>
      </c>
    </row>
    <row r="48">
      <c r="A48" s="8" t="str">
        <f t="shared" si="1"/>
        <v>Q2</v>
      </c>
      <c r="B48" s="8">
        <f t="shared" si="2"/>
        <v>45466</v>
      </c>
      <c r="C48" s="10" t="s">
        <v>278</v>
      </c>
      <c r="D48" s="10" t="s">
        <v>617</v>
      </c>
      <c r="E48" s="10" t="s">
        <v>502</v>
      </c>
      <c r="F48" s="10">
        <v>47.0</v>
      </c>
      <c r="G48" s="12" t="s">
        <v>540</v>
      </c>
      <c r="H48" s="10" t="s">
        <v>618</v>
      </c>
      <c r="I48" s="13" t="s">
        <v>619</v>
      </c>
      <c r="J48" s="10">
        <v>12988.0</v>
      </c>
      <c r="K48" s="10">
        <f t="shared" si="3"/>
        <v>99</v>
      </c>
      <c r="L48" s="14">
        <f t="shared" si="4"/>
        <v>0.007622420696</v>
      </c>
      <c r="M48" s="10">
        <v>90.0</v>
      </c>
      <c r="N48" s="10">
        <v>2.0</v>
      </c>
      <c r="O48" s="10">
        <v>7.0</v>
      </c>
      <c r="P48" s="10">
        <v>194.0</v>
      </c>
      <c r="Q48" s="10">
        <v>1880.0</v>
      </c>
    </row>
    <row r="49">
      <c r="A49" s="8" t="str">
        <f t="shared" si="1"/>
        <v>Q2</v>
      </c>
      <c r="B49" s="8">
        <f t="shared" si="2"/>
        <v>45470</v>
      </c>
      <c r="C49" s="10" t="s">
        <v>278</v>
      </c>
      <c r="D49" s="10" t="s">
        <v>620</v>
      </c>
      <c r="E49" s="10" t="s">
        <v>72</v>
      </c>
      <c r="F49" s="10">
        <v>48.0</v>
      </c>
      <c r="G49" s="12" t="s">
        <v>120</v>
      </c>
      <c r="H49" s="10" t="s">
        <v>621</v>
      </c>
      <c r="I49" s="13" t="s">
        <v>622</v>
      </c>
      <c r="J49" s="10">
        <v>575.0</v>
      </c>
      <c r="K49" s="10">
        <f t="shared" si="3"/>
        <v>3</v>
      </c>
      <c r="L49" s="14">
        <f t="shared" si="4"/>
        <v>0.005217391304</v>
      </c>
      <c r="M49" s="10">
        <v>3.0</v>
      </c>
      <c r="N49" s="10">
        <v>0.0</v>
      </c>
      <c r="O49" s="10">
        <v>0.0</v>
      </c>
      <c r="P49" s="10">
        <v>161.0</v>
      </c>
      <c r="Q49" s="10">
        <v>0.0</v>
      </c>
    </row>
    <row r="50">
      <c r="A50" s="35"/>
      <c r="B50" s="35"/>
      <c r="G50" s="25"/>
      <c r="L50" s="26"/>
    </row>
    <row r="51">
      <c r="A51" s="35"/>
      <c r="B51" s="35"/>
      <c r="G51" s="25"/>
      <c r="L51" s="26"/>
    </row>
    <row r="52">
      <c r="A52" s="35"/>
      <c r="B52" s="35"/>
      <c r="G52" s="25"/>
      <c r="L52" s="26"/>
    </row>
    <row r="53">
      <c r="A53" s="35"/>
      <c r="B53" s="35"/>
      <c r="G53" s="25"/>
      <c r="L53" s="26"/>
    </row>
    <row r="54">
      <c r="A54" s="35"/>
      <c r="B54" s="35"/>
      <c r="G54" s="25"/>
      <c r="L54" s="26"/>
    </row>
    <row r="55">
      <c r="A55" s="35"/>
      <c r="B55" s="35"/>
      <c r="G55" s="25"/>
      <c r="L55" s="26"/>
    </row>
    <row r="56">
      <c r="A56" s="35"/>
      <c r="B56" s="35"/>
      <c r="G56" s="25"/>
      <c r="L56" s="26"/>
    </row>
    <row r="57">
      <c r="A57" s="35"/>
      <c r="B57" s="35"/>
      <c r="G57" s="25"/>
      <c r="L57" s="26"/>
    </row>
    <row r="58">
      <c r="A58" s="35"/>
      <c r="B58" s="35"/>
      <c r="G58" s="25"/>
      <c r="L58" s="26"/>
    </row>
    <row r="59">
      <c r="A59" s="35"/>
      <c r="B59" s="35"/>
      <c r="G59" s="25"/>
      <c r="L59" s="26"/>
    </row>
    <row r="60">
      <c r="A60" s="35"/>
      <c r="B60" s="35"/>
      <c r="G60" s="25"/>
      <c r="L60" s="26"/>
    </row>
    <row r="61">
      <c r="A61" s="35"/>
      <c r="B61" s="35"/>
      <c r="G61" s="25"/>
      <c r="L61" s="26"/>
    </row>
    <row r="62">
      <c r="A62" s="35"/>
      <c r="B62" s="35"/>
      <c r="G62" s="25"/>
      <c r="L62" s="26"/>
    </row>
    <row r="63">
      <c r="A63" s="35"/>
      <c r="B63" s="35"/>
      <c r="G63" s="25"/>
      <c r="L63" s="26"/>
    </row>
    <row r="64">
      <c r="A64" s="35"/>
      <c r="B64" s="35"/>
      <c r="G64" s="25"/>
      <c r="L64" s="26"/>
    </row>
    <row r="65">
      <c r="A65" s="35"/>
      <c r="B65" s="35"/>
      <c r="G65" s="25"/>
      <c r="L65" s="26"/>
    </row>
    <row r="66">
      <c r="A66" s="35"/>
      <c r="B66" s="35"/>
      <c r="G66" s="25"/>
      <c r="L66" s="26"/>
    </row>
    <row r="67">
      <c r="A67" s="35"/>
      <c r="B67" s="35"/>
      <c r="G67" s="25"/>
      <c r="L67" s="26"/>
    </row>
    <row r="68">
      <c r="A68" s="35"/>
      <c r="B68" s="35"/>
      <c r="G68" s="25"/>
      <c r="L68" s="26"/>
    </row>
    <row r="69">
      <c r="A69" s="35"/>
      <c r="B69" s="35"/>
      <c r="G69" s="25"/>
      <c r="L69" s="26"/>
    </row>
    <row r="70">
      <c r="A70" s="35"/>
      <c r="B70" s="35"/>
      <c r="G70" s="25"/>
      <c r="L70" s="26"/>
    </row>
    <row r="71">
      <c r="A71" s="35"/>
      <c r="B71" s="35"/>
      <c r="G71" s="25"/>
      <c r="L71" s="26"/>
    </row>
    <row r="72">
      <c r="A72" s="35"/>
      <c r="B72" s="35"/>
      <c r="G72" s="25"/>
      <c r="L72" s="26"/>
    </row>
    <row r="73">
      <c r="A73" s="35"/>
      <c r="B73" s="35"/>
      <c r="G73" s="25"/>
      <c r="L73" s="26"/>
    </row>
    <row r="74">
      <c r="A74" s="35"/>
      <c r="B74" s="35"/>
      <c r="G74" s="25"/>
      <c r="L74" s="26"/>
    </row>
    <row r="75">
      <c r="A75" s="35"/>
      <c r="B75" s="35"/>
      <c r="G75" s="25"/>
      <c r="L75" s="26"/>
    </row>
    <row r="76">
      <c r="A76" s="35"/>
      <c r="B76" s="35"/>
      <c r="G76" s="25"/>
      <c r="L76" s="26"/>
    </row>
    <row r="77">
      <c r="A77" s="35"/>
      <c r="B77" s="35"/>
      <c r="G77" s="25"/>
      <c r="L77" s="26"/>
    </row>
    <row r="78">
      <c r="A78" s="35"/>
      <c r="B78" s="35"/>
      <c r="G78" s="25"/>
      <c r="L78" s="26"/>
    </row>
    <row r="79">
      <c r="A79" s="35"/>
      <c r="B79" s="35"/>
      <c r="G79" s="25"/>
      <c r="L79" s="26"/>
    </row>
    <row r="80">
      <c r="A80" s="35"/>
      <c r="B80" s="35"/>
      <c r="G80" s="25"/>
      <c r="L80" s="26"/>
    </row>
    <row r="81">
      <c r="A81" s="35"/>
      <c r="B81" s="35"/>
      <c r="G81" s="25"/>
      <c r="L81" s="26"/>
    </row>
    <row r="82">
      <c r="A82" s="35"/>
      <c r="B82" s="35"/>
      <c r="G82" s="25"/>
      <c r="L82" s="26"/>
    </row>
    <row r="83">
      <c r="A83" s="35"/>
      <c r="B83" s="35"/>
      <c r="G83" s="25"/>
      <c r="L83" s="26"/>
    </row>
    <row r="84">
      <c r="A84" s="35"/>
      <c r="B84" s="35"/>
      <c r="G84" s="25"/>
      <c r="L84" s="26"/>
    </row>
    <row r="85">
      <c r="A85" s="35"/>
      <c r="B85" s="35"/>
      <c r="G85" s="25"/>
      <c r="L85" s="26"/>
    </row>
    <row r="86">
      <c r="A86" s="35"/>
      <c r="B86" s="35"/>
      <c r="G86" s="25"/>
      <c r="L86" s="26"/>
    </row>
    <row r="87">
      <c r="A87" s="35"/>
      <c r="B87" s="35"/>
      <c r="G87" s="25"/>
      <c r="L87" s="26"/>
    </row>
    <row r="88">
      <c r="A88" s="35"/>
      <c r="B88" s="35"/>
      <c r="G88" s="25"/>
      <c r="L88" s="26"/>
    </row>
    <row r="89">
      <c r="A89" s="35"/>
      <c r="B89" s="35"/>
      <c r="G89" s="25"/>
      <c r="L89" s="26"/>
    </row>
    <row r="90">
      <c r="A90" s="35"/>
      <c r="B90" s="35"/>
      <c r="G90" s="25"/>
      <c r="L90" s="26"/>
    </row>
    <row r="91">
      <c r="A91" s="35"/>
      <c r="B91" s="35"/>
      <c r="G91" s="25"/>
      <c r="L91" s="26"/>
    </row>
    <row r="92">
      <c r="A92" s="35"/>
      <c r="B92" s="35"/>
      <c r="G92" s="25"/>
      <c r="L92" s="26"/>
    </row>
    <row r="93">
      <c r="A93" s="35"/>
      <c r="B93" s="35"/>
      <c r="G93" s="25"/>
      <c r="L93" s="26"/>
    </row>
    <row r="94">
      <c r="A94" s="35"/>
      <c r="B94" s="35"/>
      <c r="G94" s="25"/>
      <c r="L94" s="26"/>
    </row>
    <row r="95">
      <c r="A95" s="35"/>
      <c r="B95" s="35"/>
      <c r="G95" s="25"/>
      <c r="L95" s="26"/>
    </row>
    <row r="96">
      <c r="A96" s="35"/>
      <c r="B96" s="35"/>
      <c r="G96" s="25"/>
      <c r="L96" s="26"/>
    </row>
    <row r="97">
      <c r="A97" s="35"/>
      <c r="B97" s="35"/>
      <c r="G97" s="25"/>
      <c r="L97" s="26"/>
    </row>
    <row r="98">
      <c r="A98" s="35"/>
      <c r="B98" s="35"/>
      <c r="G98" s="25"/>
      <c r="L98" s="26"/>
    </row>
    <row r="99">
      <c r="A99" s="35"/>
      <c r="B99" s="35"/>
      <c r="G99" s="25"/>
      <c r="L99" s="26"/>
    </row>
    <row r="100">
      <c r="A100" s="35"/>
      <c r="B100" s="35"/>
      <c r="G100" s="25"/>
      <c r="L100" s="26"/>
    </row>
    <row r="101">
      <c r="A101" s="35"/>
      <c r="B101" s="35"/>
      <c r="G101" s="25"/>
      <c r="L101" s="26"/>
    </row>
    <row r="102">
      <c r="A102" s="35"/>
      <c r="B102" s="35"/>
      <c r="G102" s="25"/>
      <c r="L102" s="26"/>
    </row>
    <row r="103">
      <c r="A103" s="35"/>
      <c r="B103" s="35"/>
      <c r="G103" s="25"/>
      <c r="L103" s="26"/>
    </row>
    <row r="104">
      <c r="A104" s="35"/>
      <c r="B104" s="35"/>
      <c r="G104" s="25"/>
      <c r="L104" s="26"/>
    </row>
    <row r="105">
      <c r="A105" s="35"/>
      <c r="B105" s="35"/>
      <c r="G105" s="25"/>
      <c r="L105" s="26"/>
    </row>
    <row r="106">
      <c r="A106" s="35"/>
      <c r="B106" s="35"/>
      <c r="G106" s="25"/>
      <c r="L106" s="26"/>
    </row>
    <row r="107">
      <c r="A107" s="35"/>
      <c r="B107" s="35"/>
      <c r="G107" s="25"/>
      <c r="L107" s="26"/>
    </row>
    <row r="108">
      <c r="A108" s="35"/>
      <c r="B108" s="35"/>
      <c r="G108" s="25"/>
      <c r="L108" s="26"/>
    </row>
    <row r="109">
      <c r="A109" s="35"/>
      <c r="B109" s="35"/>
      <c r="G109" s="25"/>
      <c r="L109" s="26"/>
    </row>
    <row r="110">
      <c r="A110" s="35"/>
      <c r="B110" s="35"/>
      <c r="G110" s="25"/>
      <c r="L110" s="26"/>
    </row>
    <row r="111">
      <c r="A111" s="35"/>
      <c r="B111" s="35"/>
      <c r="G111" s="25"/>
      <c r="L111" s="26"/>
    </row>
    <row r="112">
      <c r="A112" s="35"/>
      <c r="B112" s="35"/>
      <c r="G112" s="25"/>
      <c r="L112" s="26"/>
    </row>
    <row r="113">
      <c r="A113" s="35"/>
      <c r="B113" s="35"/>
      <c r="G113" s="25"/>
      <c r="L113" s="26"/>
    </row>
    <row r="114">
      <c r="A114" s="35"/>
      <c r="B114" s="35"/>
      <c r="G114" s="25"/>
      <c r="L114" s="26"/>
    </row>
    <row r="115">
      <c r="A115" s="35"/>
      <c r="B115" s="35"/>
      <c r="G115" s="25"/>
      <c r="L115" s="26"/>
    </row>
    <row r="116">
      <c r="A116" s="35"/>
      <c r="B116" s="35"/>
      <c r="G116" s="25"/>
      <c r="L116" s="26"/>
    </row>
    <row r="117">
      <c r="A117" s="35"/>
      <c r="B117" s="35"/>
      <c r="G117" s="25"/>
      <c r="L117" s="26"/>
    </row>
    <row r="118">
      <c r="A118" s="35"/>
      <c r="B118" s="35"/>
      <c r="G118" s="25"/>
      <c r="L118" s="26"/>
    </row>
    <row r="119">
      <c r="A119" s="35"/>
      <c r="B119" s="35"/>
      <c r="G119" s="25"/>
      <c r="L119" s="26"/>
    </row>
    <row r="120">
      <c r="A120" s="35"/>
      <c r="B120" s="35"/>
      <c r="G120" s="25"/>
      <c r="L120" s="26"/>
    </row>
    <row r="121">
      <c r="A121" s="35"/>
      <c r="B121" s="35"/>
      <c r="G121" s="25"/>
      <c r="L121" s="26"/>
    </row>
    <row r="122">
      <c r="A122" s="35"/>
      <c r="B122" s="35"/>
      <c r="G122" s="25"/>
      <c r="L122" s="26"/>
    </row>
    <row r="123">
      <c r="A123" s="35"/>
      <c r="B123" s="35"/>
      <c r="G123" s="25"/>
      <c r="L123" s="26"/>
    </row>
    <row r="124">
      <c r="A124" s="35"/>
      <c r="B124" s="35"/>
      <c r="G124" s="25"/>
      <c r="L124" s="26"/>
    </row>
    <row r="125">
      <c r="A125" s="35"/>
      <c r="B125" s="35"/>
      <c r="G125" s="25"/>
      <c r="L125" s="26"/>
    </row>
    <row r="126">
      <c r="A126" s="35"/>
      <c r="B126" s="35"/>
      <c r="G126" s="25"/>
      <c r="L126" s="26"/>
    </row>
    <row r="127">
      <c r="A127" s="35"/>
      <c r="B127" s="35"/>
      <c r="G127" s="25"/>
      <c r="L127" s="26"/>
    </row>
    <row r="128">
      <c r="A128" s="35"/>
      <c r="B128" s="35"/>
      <c r="G128" s="25"/>
      <c r="L128" s="26"/>
    </row>
    <row r="129">
      <c r="A129" s="35"/>
      <c r="B129" s="35"/>
      <c r="G129" s="25"/>
      <c r="L129" s="26"/>
    </row>
    <row r="130">
      <c r="A130" s="35"/>
      <c r="B130" s="35"/>
      <c r="G130" s="25"/>
      <c r="L130" s="26"/>
    </row>
    <row r="131">
      <c r="A131" s="35"/>
      <c r="B131" s="35"/>
      <c r="G131" s="25"/>
      <c r="L131" s="26"/>
    </row>
    <row r="132">
      <c r="A132" s="35"/>
      <c r="B132" s="35"/>
      <c r="G132" s="25"/>
      <c r="L132" s="26"/>
    </row>
    <row r="133">
      <c r="A133" s="35"/>
      <c r="B133" s="35"/>
      <c r="G133" s="25"/>
      <c r="L133" s="26"/>
    </row>
    <row r="134">
      <c r="A134" s="35"/>
      <c r="B134" s="35"/>
      <c r="G134" s="25"/>
      <c r="L134" s="26"/>
    </row>
    <row r="135">
      <c r="A135" s="35"/>
      <c r="B135" s="35"/>
      <c r="G135" s="25"/>
      <c r="L135" s="26"/>
    </row>
    <row r="136">
      <c r="A136" s="35"/>
      <c r="B136" s="35"/>
      <c r="G136" s="25"/>
      <c r="L136" s="26"/>
    </row>
    <row r="137">
      <c r="A137" s="35"/>
      <c r="B137" s="35"/>
      <c r="G137" s="25"/>
      <c r="L137" s="26"/>
    </row>
    <row r="138">
      <c r="A138" s="35"/>
      <c r="B138" s="35"/>
      <c r="G138" s="25"/>
      <c r="L138" s="26"/>
    </row>
    <row r="139">
      <c r="A139" s="35"/>
      <c r="B139" s="35"/>
      <c r="G139" s="25"/>
      <c r="L139" s="26"/>
    </row>
    <row r="140">
      <c r="A140" s="35"/>
      <c r="B140" s="35"/>
      <c r="G140" s="25"/>
      <c r="L140" s="26"/>
    </row>
    <row r="141">
      <c r="A141" s="35"/>
      <c r="B141" s="35"/>
      <c r="G141" s="25"/>
      <c r="L141" s="26"/>
    </row>
    <row r="142">
      <c r="A142" s="35"/>
      <c r="B142" s="35"/>
      <c r="G142" s="25"/>
      <c r="L142" s="26"/>
    </row>
    <row r="143">
      <c r="A143" s="35"/>
      <c r="B143" s="35"/>
      <c r="G143" s="25"/>
      <c r="L143" s="26"/>
    </row>
    <row r="144">
      <c r="A144" s="35"/>
      <c r="B144" s="35"/>
      <c r="G144" s="25"/>
      <c r="L144" s="26"/>
    </row>
    <row r="145">
      <c r="A145" s="35"/>
      <c r="B145" s="35"/>
      <c r="G145" s="25"/>
      <c r="L145" s="26"/>
    </row>
    <row r="146">
      <c r="A146" s="35"/>
      <c r="B146" s="35"/>
      <c r="G146" s="25"/>
      <c r="L146" s="26"/>
    </row>
    <row r="147">
      <c r="A147" s="35"/>
      <c r="B147" s="35"/>
      <c r="G147" s="25"/>
      <c r="L147" s="26"/>
    </row>
    <row r="148">
      <c r="A148" s="35"/>
      <c r="B148" s="35"/>
      <c r="G148" s="25"/>
      <c r="L148" s="26"/>
    </row>
    <row r="149">
      <c r="A149" s="35"/>
      <c r="B149" s="35"/>
      <c r="G149" s="25"/>
      <c r="L149" s="26"/>
    </row>
    <row r="150">
      <c r="A150" s="35"/>
      <c r="B150" s="35"/>
      <c r="G150" s="25"/>
      <c r="L150" s="26"/>
    </row>
    <row r="151">
      <c r="A151" s="35"/>
      <c r="B151" s="35"/>
      <c r="G151" s="25"/>
      <c r="L151" s="26"/>
    </row>
    <row r="152">
      <c r="A152" s="35"/>
      <c r="B152" s="35"/>
      <c r="G152" s="25"/>
      <c r="L152" s="26"/>
    </row>
    <row r="153">
      <c r="A153" s="35"/>
      <c r="B153" s="35"/>
      <c r="G153" s="25"/>
      <c r="L153" s="26"/>
    </row>
    <row r="154">
      <c r="A154" s="35"/>
      <c r="B154" s="35"/>
      <c r="G154" s="25"/>
      <c r="L154" s="26"/>
    </row>
    <row r="155">
      <c r="A155" s="35"/>
      <c r="B155" s="35"/>
      <c r="G155" s="25"/>
      <c r="L155" s="26"/>
    </row>
    <row r="156">
      <c r="A156" s="35"/>
      <c r="B156" s="35"/>
      <c r="G156" s="25"/>
      <c r="L156" s="26"/>
    </row>
    <row r="157">
      <c r="A157" s="35"/>
      <c r="B157" s="35"/>
      <c r="G157" s="25"/>
      <c r="L157" s="26"/>
    </row>
    <row r="158">
      <c r="A158" s="35"/>
      <c r="B158" s="35"/>
      <c r="G158" s="25"/>
      <c r="L158" s="26"/>
    </row>
    <row r="159">
      <c r="A159" s="35"/>
      <c r="B159" s="35"/>
      <c r="G159" s="25"/>
      <c r="L159" s="26"/>
    </row>
    <row r="160">
      <c r="A160" s="35"/>
      <c r="B160" s="35"/>
      <c r="G160" s="25"/>
      <c r="L160" s="26"/>
    </row>
    <row r="161">
      <c r="A161" s="35"/>
      <c r="B161" s="35"/>
      <c r="G161" s="25"/>
      <c r="L161" s="26"/>
    </row>
    <row r="162">
      <c r="A162" s="35"/>
      <c r="B162" s="35"/>
      <c r="G162" s="25"/>
      <c r="L162" s="26"/>
    </row>
    <row r="163">
      <c r="A163" s="35"/>
      <c r="B163" s="35"/>
      <c r="G163" s="25"/>
      <c r="L163" s="26"/>
    </row>
    <row r="164">
      <c r="A164" s="35"/>
      <c r="B164" s="35"/>
      <c r="G164" s="25"/>
      <c r="L164" s="26"/>
    </row>
    <row r="165">
      <c r="A165" s="35"/>
      <c r="B165" s="35"/>
      <c r="G165" s="25"/>
      <c r="L165" s="26"/>
    </row>
    <row r="166">
      <c r="A166" s="35"/>
      <c r="B166" s="35"/>
      <c r="G166" s="25"/>
      <c r="L166" s="26"/>
    </row>
    <row r="167">
      <c r="A167" s="35"/>
      <c r="B167" s="35"/>
      <c r="G167" s="25"/>
      <c r="L167" s="26"/>
    </row>
    <row r="168">
      <c r="A168" s="35"/>
      <c r="B168" s="35"/>
      <c r="G168" s="25"/>
      <c r="L168" s="26"/>
    </row>
    <row r="169">
      <c r="A169" s="35"/>
      <c r="B169" s="35"/>
      <c r="G169" s="25"/>
      <c r="L169" s="26"/>
    </row>
    <row r="170">
      <c r="A170" s="35"/>
      <c r="B170" s="35"/>
      <c r="G170" s="25"/>
      <c r="L170" s="26"/>
    </row>
    <row r="171">
      <c r="A171" s="35"/>
      <c r="B171" s="35"/>
      <c r="G171" s="25"/>
      <c r="L171" s="26"/>
    </row>
    <row r="172">
      <c r="A172" s="35"/>
      <c r="B172" s="35"/>
      <c r="G172" s="25"/>
      <c r="L172" s="26"/>
    </row>
    <row r="173">
      <c r="A173" s="35"/>
      <c r="B173" s="35"/>
      <c r="G173" s="25"/>
      <c r="L173" s="26"/>
    </row>
    <row r="174">
      <c r="A174" s="35"/>
      <c r="B174" s="35"/>
      <c r="G174" s="25"/>
      <c r="L174" s="26"/>
    </row>
    <row r="175">
      <c r="A175" s="35"/>
      <c r="B175" s="35"/>
      <c r="G175" s="25"/>
      <c r="L175" s="26"/>
    </row>
    <row r="176">
      <c r="A176" s="35"/>
      <c r="B176" s="35"/>
      <c r="G176" s="25"/>
      <c r="L176" s="26"/>
    </row>
    <row r="177">
      <c r="A177" s="35"/>
      <c r="B177" s="35"/>
      <c r="G177" s="25"/>
      <c r="L177" s="26"/>
    </row>
    <row r="178">
      <c r="A178" s="35"/>
      <c r="B178" s="35"/>
      <c r="G178" s="25"/>
      <c r="L178" s="26"/>
    </row>
    <row r="179">
      <c r="A179" s="35"/>
      <c r="B179" s="35"/>
      <c r="G179" s="25"/>
      <c r="L179" s="26"/>
    </row>
    <row r="180">
      <c r="A180" s="35"/>
      <c r="B180" s="35"/>
      <c r="G180" s="25"/>
      <c r="L180" s="26"/>
    </row>
    <row r="181">
      <c r="A181" s="35"/>
      <c r="B181" s="35"/>
      <c r="G181" s="25"/>
      <c r="L181" s="26"/>
    </row>
    <row r="182">
      <c r="A182" s="35"/>
      <c r="B182" s="35"/>
      <c r="G182" s="25"/>
      <c r="L182" s="26"/>
    </row>
    <row r="183">
      <c r="A183" s="35"/>
      <c r="B183" s="35"/>
      <c r="G183" s="25"/>
      <c r="L183" s="26"/>
    </row>
    <row r="184">
      <c r="A184" s="35"/>
      <c r="B184" s="35"/>
      <c r="G184" s="25"/>
      <c r="L184" s="26"/>
    </row>
    <row r="185">
      <c r="A185" s="35"/>
      <c r="B185" s="35"/>
      <c r="G185" s="25"/>
      <c r="L185" s="26"/>
    </row>
    <row r="186">
      <c r="A186" s="35"/>
      <c r="B186" s="35"/>
      <c r="G186" s="25"/>
      <c r="L186" s="26"/>
    </row>
    <row r="187">
      <c r="A187" s="35"/>
      <c r="B187" s="35"/>
      <c r="G187" s="25"/>
      <c r="L187" s="26"/>
    </row>
    <row r="188">
      <c r="A188" s="35"/>
      <c r="B188" s="35"/>
      <c r="G188" s="25"/>
      <c r="L188" s="26"/>
    </row>
    <row r="189">
      <c r="A189" s="35"/>
      <c r="B189" s="35"/>
      <c r="G189" s="25"/>
      <c r="L189" s="26"/>
    </row>
    <row r="190">
      <c r="A190" s="35"/>
      <c r="B190" s="35"/>
      <c r="G190" s="25"/>
      <c r="L190" s="26"/>
    </row>
    <row r="191">
      <c r="A191" s="35"/>
      <c r="B191" s="35"/>
      <c r="G191" s="25"/>
      <c r="L191" s="26"/>
    </row>
    <row r="192">
      <c r="A192" s="35"/>
      <c r="B192" s="35"/>
      <c r="G192" s="25"/>
      <c r="L192" s="26"/>
    </row>
    <row r="193">
      <c r="A193" s="35"/>
      <c r="B193" s="35"/>
      <c r="G193" s="25"/>
      <c r="L193" s="26"/>
    </row>
    <row r="194">
      <c r="A194" s="35"/>
      <c r="B194" s="35"/>
      <c r="G194" s="25"/>
      <c r="L194" s="26"/>
    </row>
    <row r="195">
      <c r="A195" s="35"/>
      <c r="B195" s="35"/>
      <c r="G195" s="25"/>
      <c r="L195" s="26"/>
    </row>
    <row r="196">
      <c r="A196" s="35"/>
      <c r="B196" s="35"/>
      <c r="G196" s="25"/>
      <c r="L196" s="26"/>
    </row>
    <row r="197">
      <c r="A197" s="35"/>
      <c r="B197" s="35"/>
      <c r="G197" s="25"/>
      <c r="L197" s="26"/>
    </row>
    <row r="198">
      <c r="A198" s="35"/>
      <c r="B198" s="35"/>
      <c r="G198" s="25"/>
      <c r="L198" s="26"/>
    </row>
    <row r="199">
      <c r="A199" s="35"/>
      <c r="B199" s="35"/>
      <c r="G199" s="25"/>
      <c r="L199" s="26"/>
    </row>
    <row r="200">
      <c r="A200" s="35"/>
      <c r="B200" s="35"/>
      <c r="G200" s="25"/>
      <c r="L200" s="26"/>
    </row>
    <row r="201">
      <c r="A201" s="35"/>
      <c r="B201" s="35"/>
      <c r="G201" s="25"/>
      <c r="L201" s="26"/>
    </row>
    <row r="202">
      <c r="A202" s="35"/>
      <c r="B202" s="35"/>
      <c r="G202" s="25"/>
      <c r="L202" s="26"/>
    </row>
    <row r="203">
      <c r="A203" s="35"/>
      <c r="B203" s="35"/>
      <c r="G203" s="25"/>
      <c r="L203" s="26"/>
    </row>
    <row r="204">
      <c r="A204" s="35"/>
      <c r="B204" s="35"/>
      <c r="G204" s="25"/>
      <c r="L204" s="26"/>
    </row>
    <row r="205">
      <c r="A205" s="35"/>
      <c r="B205" s="35"/>
      <c r="G205" s="25"/>
      <c r="L205" s="26"/>
    </row>
    <row r="206">
      <c r="A206" s="35"/>
      <c r="B206" s="35"/>
      <c r="G206" s="25"/>
      <c r="L206" s="26"/>
    </row>
    <row r="207">
      <c r="A207" s="35"/>
      <c r="B207" s="35"/>
      <c r="G207" s="25"/>
      <c r="L207" s="26"/>
    </row>
    <row r="208">
      <c r="A208" s="35"/>
      <c r="B208" s="35"/>
      <c r="G208" s="25"/>
      <c r="L208" s="26"/>
    </row>
    <row r="209">
      <c r="A209" s="35"/>
      <c r="B209" s="35"/>
      <c r="G209" s="25"/>
      <c r="L209" s="26"/>
    </row>
    <row r="210">
      <c r="A210" s="35"/>
      <c r="B210" s="35"/>
      <c r="G210" s="25"/>
      <c r="L210" s="26"/>
    </row>
    <row r="211">
      <c r="A211" s="35"/>
      <c r="B211" s="35"/>
      <c r="G211" s="25"/>
      <c r="L211" s="26"/>
    </row>
    <row r="212">
      <c r="A212" s="35"/>
      <c r="B212" s="35"/>
      <c r="G212" s="25"/>
      <c r="L212" s="26"/>
    </row>
    <row r="213">
      <c r="A213" s="35"/>
      <c r="B213" s="35"/>
      <c r="G213" s="25"/>
      <c r="L213" s="26"/>
    </row>
    <row r="214">
      <c r="A214" s="35"/>
      <c r="B214" s="35"/>
      <c r="G214" s="25"/>
      <c r="L214" s="26"/>
    </row>
    <row r="215">
      <c r="A215" s="35"/>
      <c r="B215" s="35"/>
      <c r="G215" s="25"/>
      <c r="L215" s="26"/>
    </row>
    <row r="216">
      <c r="A216" s="35"/>
      <c r="B216" s="35"/>
      <c r="G216" s="25"/>
      <c r="L216" s="26"/>
    </row>
    <row r="217">
      <c r="A217" s="35"/>
      <c r="B217" s="35"/>
      <c r="G217" s="25"/>
      <c r="L217" s="26"/>
    </row>
    <row r="218">
      <c r="A218" s="35"/>
      <c r="B218" s="35"/>
      <c r="G218" s="25"/>
      <c r="L218" s="26"/>
    </row>
    <row r="219">
      <c r="A219" s="35"/>
      <c r="B219" s="35"/>
      <c r="G219" s="25"/>
      <c r="L219" s="26"/>
    </row>
    <row r="220">
      <c r="A220" s="35"/>
      <c r="B220" s="35"/>
      <c r="G220" s="25"/>
      <c r="L220" s="26"/>
    </row>
    <row r="221">
      <c r="A221" s="35"/>
      <c r="B221" s="35"/>
      <c r="G221" s="25"/>
      <c r="L221" s="26"/>
    </row>
    <row r="222">
      <c r="A222" s="35"/>
      <c r="B222" s="35"/>
      <c r="G222" s="25"/>
      <c r="L222" s="26"/>
    </row>
    <row r="223">
      <c r="A223" s="35"/>
      <c r="B223" s="35"/>
      <c r="G223" s="25"/>
      <c r="L223" s="26"/>
    </row>
    <row r="224">
      <c r="A224" s="35"/>
      <c r="B224" s="35"/>
      <c r="G224" s="25"/>
      <c r="L224" s="26"/>
    </row>
    <row r="225">
      <c r="A225" s="35"/>
      <c r="B225" s="35"/>
      <c r="G225" s="25"/>
      <c r="L225" s="26"/>
    </row>
    <row r="226">
      <c r="A226" s="35"/>
      <c r="B226" s="35"/>
      <c r="G226" s="25"/>
      <c r="L226" s="26"/>
    </row>
    <row r="227">
      <c r="A227" s="35"/>
      <c r="B227" s="35"/>
      <c r="G227" s="25"/>
      <c r="L227" s="26"/>
    </row>
    <row r="228">
      <c r="A228" s="35"/>
      <c r="B228" s="35"/>
      <c r="G228" s="25"/>
      <c r="L228" s="26"/>
    </row>
    <row r="229">
      <c r="A229" s="35"/>
      <c r="B229" s="35"/>
      <c r="G229" s="25"/>
      <c r="L229" s="26"/>
    </row>
    <row r="230">
      <c r="A230" s="35"/>
      <c r="B230" s="35"/>
      <c r="G230" s="25"/>
      <c r="L230" s="26"/>
    </row>
    <row r="231">
      <c r="A231" s="35"/>
      <c r="B231" s="35"/>
      <c r="G231" s="25"/>
      <c r="L231" s="26"/>
    </row>
    <row r="232">
      <c r="A232" s="35"/>
      <c r="B232" s="35"/>
      <c r="G232" s="25"/>
      <c r="L232" s="26"/>
    </row>
    <row r="233">
      <c r="A233" s="35"/>
      <c r="B233" s="35"/>
      <c r="G233" s="25"/>
      <c r="L233" s="26"/>
    </row>
    <row r="234">
      <c r="A234" s="35"/>
      <c r="B234" s="35"/>
      <c r="G234" s="25"/>
      <c r="L234" s="26"/>
    </row>
    <row r="235">
      <c r="A235" s="35"/>
      <c r="B235" s="35"/>
      <c r="G235" s="25"/>
      <c r="L235" s="26"/>
    </row>
    <row r="236">
      <c r="A236" s="35"/>
      <c r="B236" s="35"/>
      <c r="G236" s="25"/>
      <c r="L236" s="26"/>
    </row>
    <row r="237">
      <c r="A237" s="35"/>
      <c r="B237" s="35"/>
      <c r="G237" s="25"/>
      <c r="L237" s="26"/>
    </row>
    <row r="238">
      <c r="A238" s="35"/>
      <c r="B238" s="35"/>
      <c r="G238" s="25"/>
      <c r="L238" s="26"/>
    </row>
    <row r="239">
      <c r="A239" s="35"/>
      <c r="B239" s="35"/>
      <c r="G239" s="25"/>
      <c r="L239" s="26"/>
    </row>
    <row r="240">
      <c r="A240" s="35"/>
      <c r="B240" s="35"/>
      <c r="G240" s="25"/>
      <c r="L240" s="26"/>
    </row>
    <row r="241">
      <c r="A241" s="35"/>
      <c r="B241" s="35"/>
      <c r="G241" s="25"/>
      <c r="L241" s="26"/>
    </row>
    <row r="242">
      <c r="A242" s="35"/>
      <c r="B242" s="35"/>
      <c r="G242" s="25"/>
      <c r="L242" s="26"/>
    </row>
    <row r="243">
      <c r="A243" s="35"/>
      <c r="B243" s="35"/>
      <c r="G243" s="25"/>
      <c r="L243" s="26"/>
    </row>
    <row r="244">
      <c r="A244" s="35"/>
      <c r="B244" s="35"/>
      <c r="G244" s="25"/>
      <c r="L244" s="26"/>
    </row>
    <row r="245">
      <c r="A245" s="35"/>
      <c r="B245" s="35"/>
      <c r="G245" s="25"/>
      <c r="L245" s="26"/>
    </row>
    <row r="246">
      <c r="A246" s="35"/>
      <c r="B246" s="35"/>
      <c r="G246" s="25"/>
      <c r="L246" s="26"/>
    </row>
    <row r="247">
      <c r="A247" s="35"/>
      <c r="B247" s="35"/>
      <c r="G247" s="25"/>
      <c r="L247" s="26"/>
    </row>
    <row r="248">
      <c r="A248" s="35"/>
      <c r="B248" s="35"/>
      <c r="G248" s="25"/>
      <c r="L248" s="26"/>
    </row>
    <row r="249">
      <c r="A249" s="35"/>
      <c r="B249" s="35"/>
      <c r="G249" s="25"/>
      <c r="L249" s="26"/>
    </row>
    <row r="250">
      <c r="A250" s="35"/>
      <c r="B250" s="35"/>
      <c r="G250" s="25"/>
      <c r="L250" s="26"/>
    </row>
    <row r="251">
      <c r="A251" s="35"/>
      <c r="B251" s="35"/>
      <c r="G251" s="25"/>
      <c r="L251" s="26"/>
    </row>
    <row r="252">
      <c r="A252" s="35"/>
      <c r="B252" s="35"/>
      <c r="G252" s="25"/>
      <c r="L252" s="26"/>
    </row>
    <row r="253">
      <c r="A253" s="35"/>
      <c r="B253" s="35"/>
      <c r="G253" s="25"/>
      <c r="L253" s="26"/>
    </row>
    <row r="254">
      <c r="A254" s="35"/>
      <c r="B254" s="35"/>
      <c r="G254" s="25"/>
      <c r="L254" s="26"/>
    </row>
    <row r="255">
      <c r="A255" s="35"/>
      <c r="B255" s="35"/>
      <c r="G255" s="25"/>
      <c r="L255" s="26"/>
    </row>
    <row r="256">
      <c r="A256" s="35"/>
      <c r="B256" s="35"/>
      <c r="G256" s="25"/>
      <c r="L256" s="26"/>
    </row>
    <row r="257">
      <c r="A257" s="35"/>
      <c r="B257" s="35"/>
      <c r="G257" s="25"/>
      <c r="L257" s="26"/>
    </row>
    <row r="258">
      <c r="A258" s="35"/>
      <c r="B258" s="35"/>
      <c r="G258" s="25"/>
      <c r="L258" s="26"/>
    </row>
    <row r="259">
      <c r="A259" s="35"/>
      <c r="B259" s="35"/>
      <c r="G259" s="25"/>
      <c r="L259" s="26"/>
    </row>
    <row r="260">
      <c r="A260" s="35"/>
      <c r="B260" s="35"/>
      <c r="G260" s="25"/>
      <c r="L260" s="26"/>
    </row>
    <row r="261">
      <c r="A261" s="35"/>
      <c r="B261" s="35"/>
      <c r="G261" s="25"/>
      <c r="L261" s="26"/>
    </row>
    <row r="262">
      <c r="A262" s="35"/>
      <c r="B262" s="35"/>
      <c r="G262" s="25"/>
      <c r="L262" s="26"/>
    </row>
    <row r="263">
      <c r="A263" s="35"/>
      <c r="B263" s="35"/>
      <c r="G263" s="25"/>
      <c r="L263" s="26"/>
    </row>
    <row r="264">
      <c r="A264" s="35"/>
      <c r="B264" s="35"/>
      <c r="G264" s="25"/>
      <c r="L264" s="26"/>
    </row>
    <row r="265">
      <c r="A265" s="35"/>
      <c r="B265" s="35"/>
      <c r="G265" s="25"/>
      <c r="L265" s="26"/>
    </row>
    <row r="266">
      <c r="A266" s="35"/>
      <c r="B266" s="35"/>
      <c r="G266" s="25"/>
      <c r="L266" s="26"/>
    </row>
    <row r="267">
      <c r="A267" s="35"/>
      <c r="B267" s="35"/>
      <c r="G267" s="25"/>
      <c r="L267" s="26"/>
    </row>
    <row r="268">
      <c r="A268" s="35"/>
      <c r="B268" s="35"/>
      <c r="G268" s="25"/>
      <c r="L268" s="26"/>
    </row>
    <row r="269">
      <c r="A269" s="35"/>
      <c r="B269" s="35"/>
      <c r="G269" s="25"/>
      <c r="L269" s="26"/>
    </row>
    <row r="270">
      <c r="A270" s="35"/>
      <c r="B270" s="35"/>
      <c r="G270" s="25"/>
      <c r="L270" s="26"/>
    </row>
    <row r="271">
      <c r="A271" s="35"/>
      <c r="B271" s="35"/>
      <c r="G271" s="25"/>
      <c r="L271" s="26"/>
    </row>
    <row r="272">
      <c r="A272" s="35"/>
      <c r="B272" s="35"/>
      <c r="G272" s="25"/>
      <c r="L272" s="26"/>
    </row>
    <row r="273">
      <c r="A273" s="35"/>
      <c r="B273" s="35"/>
      <c r="G273" s="25"/>
      <c r="L273" s="26"/>
    </row>
    <row r="274">
      <c r="A274" s="35"/>
      <c r="B274" s="35"/>
      <c r="G274" s="25"/>
      <c r="L274" s="26"/>
    </row>
    <row r="275">
      <c r="A275" s="35"/>
      <c r="B275" s="35"/>
      <c r="G275" s="25"/>
      <c r="L275" s="26"/>
    </row>
    <row r="276">
      <c r="A276" s="35"/>
      <c r="B276" s="35"/>
      <c r="G276" s="25"/>
      <c r="L276" s="26"/>
    </row>
    <row r="277">
      <c r="A277" s="35"/>
      <c r="B277" s="35"/>
      <c r="G277" s="25"/>
      <c r="L277" s="26"/>
    </row>
    <row r="278">
      <c r="A278" s="35"/>
      <c r="B278" s="35"/>
      <c r="G278" s="25"/>
      <c r="L278" s="26"/>
    </row>
    <row r="279">
      <c r="A279" s="35"/>
      <c r="B279" s="35"/>
      <c r="G279" s="25"/>
      <c r="L279" s="26"/>
    </row>
    <row r="280">
      <c r="A280" s="35"/>
      <c r="B280" s="35"/>
      <c r="G280" s="25"/>
      <c r="L280" s="26"/>
    </row>
    <row r="281">
      <c r="A281" s="35"/>
      <c r="B281" s="35"/>
      <c r="G281" s="25"/>
      <c r="L281" s="26"/>
    </row>
    <row r="282">
      <c r="A282" s="35"/>
      <c r="B282" s="35"/>
      <c r="G282" s="25"/>
      <c r="L282" s="26"/>
    </row>
    <row r="283">
      <c r="A283" s="35"/>
      <c r="B283" s="35"/>
      <c r="G283" s="25"/>
      <c r="L283" s="26"/>
    </row>
    <row r="284">
      <c r="A284" s="35"/>
      <c r="B284" s="35"/>
      <c r="G284" s="25"/>
      <c r="L284" s="26"/>
    </row>
    <row r="285">
      <c r="A285" s="35"/>
      <c r="B285" s="35"/>
      <c r="G285" s="25"/>
      <c r="L285" s="26"/>
    </row>
    <row r="286">
      <c r="A286" s="35"/>
      <c r="B286" s="35"/>
      <c r="G286" s="25"/>
      <c r="L286" s="26"/>
    </row>
    <row r="287">
      <c r="A287" s="35"/>
      <c r="B287" s="35"/>
      <c r="G287" s="25"/>
      <c r="L287" s="26"/>
    </row>
    <row r="288">
      <c r="A288" s="35"/>
      <c r="B288" s="35"/>
      <c r="G288" s="25"/>
      <c r="L288" s="26"/>
    </row>
    <row r="289">
      <c r="A289" s="35"/>
      <c r="B289" s="35"/>
      <c r="G289" s="25"/>
      <c r="L289" s="26"/>
    </row>
    <row r="290">
      <c r="A290" s="35"/>
      <c r="B290" s="35"/>
      <c r="G290" s="25"/>
      <c r="L290" s="26"/>
    </row>
    <row r="291">
      <c r="A291" s="35"/>
      <c r="B291" s="35"/>
      <c r="G291" s="25"/>
      <c r="L291" s="26"/>
    </row>
    <row r="292">
      <c r="A292" s="35"/>
      <c r="B292" s="35"/>
      <c r="G292" s="25"/>
      <c r="L292" s="26"/>
    </row>
    <row r="293">
      <c r="A293" s="35"/>
      <c r="B293" s="35"/>
      <c r="G293" s="25"/>
      <c r="L293" s="26"/>
    </row>
    <row r="294">
      <c r="A294" s="35"/>
      <c r="B294" s="35"/>
      <c r="G294" s="25"/>
      <c r="L294" s="26"/>
    </row>
    <row r="295">
      <c r="A295" s="35"/>
      <c r="B295" s="35"/>
      <c r="G295" s="25"/>
      <c r="L295" s="26"/>
    </row>
    <row r="296">
      <c r="A296" s="35"/>
      <c r="B296" s="35"/>
      <c r="G296" s="25"/>
      <c r="L296" s="26"/>
    </row>
    <row r="297">
      <c r="A297" s="35"/>
      <c r="B297" s="35"/>
      <c r="G297" s="25"/>
      <c r="L297" s="26"/>
    </row>
    <row r="298">
      <c r="A298" s="35"/>
      <c r="B298" s="35"/>
      <c r="G298" s="25"/>
      <c r="L298" s="26"/>
    </row>
    <row r="299">
      <c r="A299" s="35"/>
      <c r="B299" s="35"/>
      <c r="G299" s="25"/>
      <c r="L299" s="26"/>
    </row>
    <row r="300">
      <c r="A300" s="35"/>
      <c r="B300" s="35"/>
      <c r="G300" s="25"/>
      <c r="L300" s="26"/>
    </row>
    <row r="301">
      <c r="A301" s="35"/>
      <c r="B301" s="35"/>
      <c r="G301" s="25"/>
      <c r="L301" s="26"/>
    </row>
    <row r="302">
      <c r="A302" s="35"/>
      <c r="B302" s="35"/>
      <c r="G302" s="25"/>
      <c r="L302" s="26"/>
    </row>
    <row r="303">
      <c r="A303" s="35"/>
      <c r="B303" s="35"/>
      <c r="G303" s="25"/>
      <c r="L303" s="26"/>
    </row>
    <row r="304">
      <c r="A304" s="35"/>
      <c r="B304" s="35"/>
      <c r="G304" s="25"/>
      <c r="L304" s="26"/>
    </row>
    <row r="305">
      <c r="A305" s="35"/>
      <c r="B305" s="35"/>
      <c r="G305" s="25"/>
      <c r="L305" s="26"/>
    </row>
    <row r="306">
      <c r="A306" s="35"/>
      <c r="B306" s="35"/>
      <c r="G306" s="25"/>
      <c r="L306" s="26"/>
    </row>
    <row r="307">
      <c r="A307" s="35"/>
      <c r="B307" s="35"/>
      <c r="G307" s="25"/>
      <c r="L307" s="26"/>
    </row>
    <row r="308">
      <c r="A308" s="35"/>
      <c r="B308" s="35"/>
      <c r="G308" s="25"/>
      <c r="L308" s="26"/>
    </row>
    <row r="309">
      <c r="A309" s="35"/>
      <c r="B309" s="35"/>
      <c r="G309" s="25"/>
      <c r="L309" s="26"/>
    </row>
    <row r="310">
      <c r="A310" s="35"/>
      <c r="B310" s="35"/>
      <c r="G310" s="25"/>
      <c r="L310" s="26"/>
    </row>
    <row r="311">
      <c r="A311" s="35"/>
      <c r="B311" s="35"/>
      <c r="G311" s="25"/>
      <c r="L311" s="26"/>
    </row>
    <row r="312">
      <c r="A312" s="35"/>
      <c r="B312" s="35"/>
      <c r="G312" s="25"/>
      <c r="L312" s="26"/>
    </row>
    <row r="313">
      <c r="A313" s="35"/>
      <c r="B313" s="35"/>
      <c r="G313" s="25"/>
      <c r="L313" s="26"/>
    </row>
    <row r="314">
      <c r="A314" s="35"/>
      <c r="B314" s="35"/>
      <c r="G314" s="25"/>
      <c r="L314" s="26"/>
    </row>
    <row r="315">
      <c r="A315" s="35"/>
      <c r="B315" s="35"/>
      <c r="G315" s="25"/>
      <c r="L315" s="26"/>
    </row>
    <row r="316">
      <c r="A316" s="35"/>
      <c r="B316" s="35"/>
      <c r="G316" s="25"/>
      <c r="L316" s="26"/>
    </row>
    <row r="317">
      <c r="A317" s="35"/>
      <c r="B317" s="35"/>
      <c r="G317" s="25"/>
      <c r="L317" s="26"/>
    </row>
    <row r="318">
      <c r="A318" s="35"/>
      <c r="B318" s="35"/>
      <c r="G318" s="25"/>
      <c r="L318" s="26"/>
    </row>
    <row r="319">
      <c r="A319" s="35"/>
      <c r="B319" s="35"/>
      <c r="G319" s="25"/>
      <c r="L319" s="26"/>
    </row>
    <row r="320">
      <c r="A320" s="35"/>
      <c r="B320" s="35"/>
      <c r="G320" s="25"/>
      <c r="L320" s="26"/>
    </row>
    <row r="321">
      <c r="A321" s="35"/>
      <c r="B321" s="35"/>
      <c r="G321" s="25"/>
      <c r="L321" s="26"/>
    </row>
    <row r="322">
      <c r="A322" s="35"/>
      <c r="B322" s="35"/>
      <c r="G322" s="25"/>
      <c r="L322" s="26"/>
    </row>
    <row r="323">
      <c r="A323" s="35"/>
      <c r="B323" s="35"/>
      <c r="G323" s="25"/>
      <c r="L323" s="26"/>
    </row>
    <row r="324">
      <c r="A324" s="35"/>
      <c r="B324" s="35"/>
      <c r="G324" s="25"/>
      <c r="L324" s="26"/>
    </row>
    <row r="325">
      <c r="A325" s="35"/>
      <c r="B325" s="35"/>
      <c r="G325" s="25"/>
      <c r="L325" s="26"/>
    </row>
    <row r="326">
      <c r="A326" s="35"/>
      <c r="B326" s="35"/>
      <c r="G326" s="25"/>
      <c r="L326" s="26"/>
    </row>
    <row r="327">
      <c r="A327" s="35"/>
      <c r="B327" s="35"/>
      <c r="G327" s="25"/>
      <c r="L327" s="26"/>
    </row>
    <row r="328">
      <c r="A328" s="35"/>
      <c r="B328" s="35"/>
      <c r="G328" s="25"/>
      <c r="L328" s="26"/>
    </row>
    <row r="329">
      <c r="A329" s="35"/>
      <c r="B329" s="35"/>
      <c r="G329" s="25"/>
      <c r="L329" s="26"/>
    </row>
    <row r="330">
      <c r="A330" s="35"/>
      <c r="B330" s="35"/>
      <c r="G330" s="25"/>
      <c r="L330" s="26"/>
    </row>
    <row r="331">
      <c r="A331" s="35"/>
      <c r="B331" s="35"/>
      <c r="G331" s="25"/>
      <c r="L331" s="26"/>
    </row>
    <row r="332">
      <c r="A332" s="35"/>
      <c r="B332" s="35"/>
      <c r="G332" s="25"/>
      <c r="L332" s="26"/>
    </row>
    <row r="333">
      <c r="A333" s="35"/>
      <c r="B333" s="35"/>
      <c r="G333" s="25"/>
      <c r="L333" s="26"/>
    </row>
    <row r="334">
      <c r="A334" s="35"/>
      <c r="B334" s="35"/>
      <c r="G334" s="25"/>
      <c r="L334" s="26"/>
    </row>
    <row r="335">
      <c r="A335" s="35"/>
      <c r="B335" s="35"/>
      <c r="G335" s="25"/>
      <c r="L335" s="26"/>
    </row>
    <row r="336">
      <c r="A336" s="35"/>
      <c r="B336" s="35"/>
      <c r="G336" s="25"/>
      <c r="L336" s="26"/>
    </row>
    <row r="337">
      <c r="A337" s="35"/>
      <c r="B337" s="35"/>
      <c r="G337" s="25"/>
      <c r="L337" s="26"/>
    </row>
    <row r="338">
      <c r="A338" s="35"/>
      <c r="B338" s="35"/>
      <c r="G338" s="25"/>
      <c r="L338" s="26"/>
    </row>
    <row r="339">
      <c r="A339" s="35"/>
      <c r="B339" s="35"/>
      <c r="G339" s="25"/>
      <c r="L339" s="26"/>
    </row>
    <row r="340">
      <c r="A340" s="35"/>
      <c r="B340" s="35"/>
      <c r="G340" s="25"/>
      <c r="L340" s="26"/>
    </row>
    <row r="341">
      <c r="A341" s="35"/>
      <c r="B341" s="35"/>
      <c r="G341" s="25"/>
      <c r="L341" s="26"/>
    </row>
    <row r="342">
      <c r="A342" s="35"/>
      <c r="B342" s="35"/>
      <c r="G342" s="25"/>
      <c r="L342" s="26"/>
    </row>
    <row r="343">
      <c r="A343" s="35"/>
      <c r="B343" s="35"/>
      <c r="G343" s="25"/>
      <c r="L343" s="26"/>
    </row>
    <row r="344">
      <c r="A344" s="35"/>
      <c r="B344" s="35"/>
      <c r="G344" s="25"/>
      <c r="L344" s="26"/>
    </row>
    <row r="345">
      <c r="A345" s="35"/>
      <c r="B345" s="35"/>
      <c r="G345" s="25"/>
      <c r="L345" s="26"/>
    </row>
    <row r="346">
      <c r="A346" s="35"/>
      <c r="B346" s="35"/>
      <c r="G346" s="25"/>
      <c r="L346" s="26"/>
    </row>
    <row r="347">
      <c r="A347" s="35"/>
      <c r="B347" s="35"/>
      <c r="G347" s="25"/>
      <c r="L347" s="26"/>
    </row>
    <row r="348">
      <c r="A348" s="35"/>
      <c r="B348" s="35"/>
      <c r="G348" s="25"/>
      <c r="L348" s="26"/>
    </row>
    <row r="349">
      <c r="A349" s="35"/>
      <c r="B349" s="35"/>
      <c r="G349" s="25"/>
      <c r="L349" s="26"/>
    </row>
    <row r="350">
      <c r="A350" s="35"/>
      <c r="B350" s="35"/>
      <c r="G350" s="25"/>
      <c r="L350" s="26"/>
    </row>
    <row r="351">
      <c r="A351" s="35"/>
      <c r="B351" s="35"/>
      <c r="G351" s="25"/>
      <c r="L351" s="26"/>
    </row>
    <row r="352">
      <c r="A352" s="35"/>
      <c r="B352" s="35"/>
      <c r="G352" s="25"/>
      <c r="L352" s="26"/>
    </row>
    <row r="353">
      <c r="A353" s="35"/>
      <c r="B353" s="35"/>
      <c r="G353" s="25"/>
      <c r="L353" s="26"/>
    </row>
    <row r="354">
      <c r="A354" s="35"/>
      <c r="B354" s="35"/>
      <c r="G354" s="25"/>
      <c r="L354" s="26"/>
    </row>
    <row r="355">
      <c r="A355" s="35"/>
      <c r="B355" s="35"/>
      <c r="G355" s="25"/>
      <c r="L355" s="26"/>
    </row>
    <row r="356">
      <c r="A356" s="35"/>
      <c r="B356" s="35"/>
      <c r="G356" s="25"/>
      <c r="L356" s="26"/>
    </row>
    <row r="357">
      <c r="A357" s="35"/>
      <c r="B357" s="35"/>
      <c r="G357" s="25"/>
      <c r="L357" s="26"/>
    </row>
    <row r="358">
      <c r="A358" s="35"/>
      <c r="B358" s="35"/>
      <c r="G358" s="25"/>
      <c r="L358" s="26"/>
    </row>
    <row r="359">
      <c r="A359" s="35"/>
      <c r="B359" s="35"/>
      <c r="G359" s="25"/>
      <c r="L359" s="26"/>
    </row>
    <row r="360">
      <c r="A360" s="35"/>
      <c r="B360" s="35"/>
      <c r="G360" s="25"/>
      <c r="L360" s="26"/>
    </row>
    <row r="361">
      <c r="A361" s="35"/>
      <c r="B361" s="35"/>
      <c r="G361" s="25"/>
      <c r="L361" s="26"/>
    </row>
    <row r="362">
      <c r="A362" s="35"/>
      <c r="B362" s="35"/>
      <c r="G362" s="25"/>
      <c r="L362" s="26"/>
    </row>
    <row r="363">
      <c r="A363" s="35"/>
      <c r="B363" s="35"/>
      <c r="G363" s="25"/>
      <c r="L363" s="26"/>
    </row>
    <row r="364">
      <c r="A364" s="35"/>
      <c r="B364" s="35"/>
      <c r="G364" s="25"/>
      <c r="L364" s="26"/>
    </row>
    <row r="365">
      <c r="A365" s="35"/>
      <c r="B365" s="35"/>
      <c r="G365" s="25"/>
      <c r="L365" s="26"/>
    </row>
    <row r="366">
      <c r="A366" s="35"/>
      <c r="B366" s="35"/>
      <c r="G366" s="25"/>
      <c r="L366" s="26"/>
    </row>
    <row r="367">
      <c r="A367" s="35"/>
      <c r="B367" s="35"/>
      <c r="G367" s="25"/>
      <c r="L367" s="26"/>
    </row>
    <row r="368">
      <c r="A368" s="35"/>
      <c r="B368" s="35"/>
      <c r="G368" s="25"/>
      <c r="L368" s="26"/>
    </row>
    <row r="369">
      <c r="A369" s="35"/>
      <c r="B369" s="35"/>
      <c r="G369" s="25"/>
      <c r="L369" s="26"/>
    </row>
    <row r="370">
      <c r="A370" s="35"/>
      <c r="B370" s="35"/>
      <c r="G370" s="25"/>
      <c r="L370" s="26"/>
    </row>
    <row r="371">
      <c r="A371" s="35"/>
      <c r="B371" s="35"/>
      <c r="G371" s="25"/>
      <c r="L371" s="26"/>
    </row>
    <row r="372">
      <c r="A372" s="35"/>
      <c r="B372" s="35"/>
      <c r="G372" s="25"/>
      <c r="L372" s="26"/>
    </row>
    <row r="373">
      <c r="A373" s="35"/>
      <c r="B373" s="35"/>
      <c r="G373" s="25"/>
      <c r="L373" s="26"/>
    </row>
    <row r="374">
      <c r="A374" s="35"/>
      <c r="B374" s="35"/>
      <c r="G374" s="25"/>
      <c r="L374" s="26"/>
    </row>
    <row r="375">
      <c r="A375" s="35"/>
      <c r="B375" s="35"/>
      <c r="G375" s="25"/>
      <c r="L375" s="26"/>
    </row>
    <row r="376">
      <c r="A376" s="35"/>
      <c r="B376" s="35"/>
      <c r="G376" s="25"/>
      <c r="L376" s="26"/>
    </row>
    <row r="377">
      <c r="A377" s="35"/>
      <c r="B377" s="35"/>
      <c r="G377" s="25"/>
      <c r="L377" s="26"/>
    </row>
    <row r="378">
      <c r="A378" s="35"/>
      <c r="B378" s="35"/>
      <c r="G378" s="25"/>
      <c r="L378" s="26"/>
    </row>
    <row r="379">
      <c r="A379" s="35"/>
      <c r="B379" s="35"/>
      <c r="G379" s="25"/>
      <c r="L379" s="26"/>
    </row>
    <row r="380">
      <c r="A380" s="35"/>
      <c r="B380" s="35"/>
      <c r="G380" s="25"/>
      <c r="L380" s="26"/>
    </row>
    <row r="381">
      <c r="A381" s="35"/>
      <c r="B381" s="35"/>
      <c r="G381" s="25"/>
      <c r="L381" s="26"/>
    </row>
    <row r="382">
      <c r="A382" s="35"/>
      <c r="B382" s="35"/>
      <c r="G382" s="25"/>
      <c r="L382" s="26"/>
    </row>
    <row r="383">
      <c r="A383" s="35"/>
      <c r="B383" s="35"/>
      <c r="G383" s="25"/>
      <c r="L383" s="26"/>
    </row>
    <row r="384">
      <c r="A384" s="35"/>
      <c r="B384" s="35"/>
      <c r="G384" s="25"/>
      <c r="L384" s="26"/>
    </row>
    <row r="385">
      <c r="A385" s="35"/>
      <c r="B385" s="35"/>
      <c r="G385" s="25"/>
      <c r="L385" s="26"/>
    </row>
    <row r="386">
      <c r="A386" s="35"/>
      <c r="B386" s="35"/>
      <c r="G386" s="25"/>
      <c r="L386" s="26"/>
    </row>
    <row r="387">
      <c r="A387" s="35"/>
      <c r="B387" s="35"/>
      <c r="G387" s="25"/>
      <c r="L387" s="26"/>
    </row>
    <row r="388">
      <c r="A388" s="35"/>
      <c r="B388" s="35"/>
      <c r="G388" s="25"/>
      <c r="L388" s="26"/>
    </row>
    <row r="389">
      <c r="A389" s="35"/>
      <c r="B389" s="35"/>
      <c r="G389" s="25"/>
      <c r="L389" s="26"/>
    </row>
    <row r="390">
      <c r="A390" s="35"/>
      <c r="B390" s="35"/>
      <c r="G390" s="25"/>
      <c r="L390" s="26"/>
    </row>
    <row r="391">
      <c r="A391" s="35"/>
      <c r="B391" s="35"/>
      <c r="G391" s="25"/>
      <c r="L391" s="26"/>
    </row>
    <row r="392">
      <c r="A392" s="35"/>
      <c r="B392" s="35"/>
      <c r="G392" s="25"/>
      <c r="L392" s="26"/>
    </row>
    <row r="393">
      <c r="A393" s="35"/>
      <c r="B393" s="35"/>
      <c r="G393" s="25"/>
      <c r="L393" s="26"/>
    </row>
    <row r="394">
      <c r="A394" s="35"/>
      <c r="B394" s="35"/>
      <c r="G394" s="25"/>
      <c r="L394" s="26"/>
    </row>
    <row r="395">
      <c r="A395" s="35"/>
      <c r="B395" s="35"/>
      <c r="G395" s="25"/>
      <c r="L395" s="26"/>
    </row>
    <row r="396">
      <c r="A396" s="35"/>
      <c r="B396" s="35"/>
      <c r="G396" s="25"/>
      <c r="L396" s="26"/>
    </row>
    <row r="397">
      <c r="A397" s="35"/>
      <c r="B397" s="35"/>
      <c r="G397" s="25"/>
      <c r="L397" s="26"/>
    </row>
    <row r="398">
      <c r="A398" s="35"/>
      <c r="B398" s="35"/>
      <c r="G398" s="25"/>
      <c r="L398" s="26"/>
    </row>
    <row r="399">
      <c r="A399" s="35"/>
      <c r="B399" s="35"/>
      <c r="G399" s="25"/>
      <c r="L399" s="26"/>
    </row>
    <row r="400">
      <c r="A400" s="35"/>
      <c r="B400" s="35"/>
      <c r="G400" s="25"/>
      <c r="L400" s="26"/>
    </row>
    <row r="401">
      <c r="A401" s="35"/>
      <c r="B401" s="35"/>
      <c r="G401" s="25"/>
      <c r="L401" s="26"/>
    </row>
    <row r="402">
      <c r="A402" s="35"/>
      <c r="B402" s="35"/>
      <c r="G402" s="25"/>
      <c r="L402" s="26"/>
    </row>
    <row r="403">
      <c r="A403" s="35"/>
      <c r="B403" s="35"/>
      <c r="G403" s="25"/>
      <c r="L403" s="26"/>
    </row>
    <row r="404">
      <c r="A404" s="35"/>
      <c r="B404" s="35"/>
      <c r="G404" s="25"/>
      <c r="L404" s="26"/>
    </row>
    <row r="405">
      <c r="A405" s="35"/>
      <c r="B405" s="35"/>
      <c r="G405" s="25"/>
      <c r="L405" s="26"/>
    </row>
    <row r="406">
      <c r="A406" s="35"/>
      <c r="B406" s="35"/>
      <c r="G406" s="25"/>
      <c r="L406" s="26"/>
    </row>
    <row r="407">
      <c r="A407" s="35"/>
      <c r="B407" s="35"/>
      <c r="G407" s="25"/>
      <c r="L407" s="26"/>
    </row>
    <row r="408">
      <c r="A408" s="35"/>
      <c r="B408" s="35"/>
      <c r="G408" s="25"/>
      <c r="L408" s="26"/>
    </row>
    <row r="409">
      <c r="A409" s="35"/>
      <c r="B409" s="35"/>
      <c r="G409" s="25"/>
      <c r="L409" s="26"/>
    </row>
    <row r="410">
      <c r="A410" s="35"/>
      <c r="B410" s="35"/>
      <c r="G410" s="25"/>
      <c r="L410" s="26"/>
    </row>
    <row r="411">
      <c r="A411" s="35"/>
      <c r="B411" s="35"/>
      <c r="G411" s="25"/>
      <c r="L411" s="26"/>
    </row>
    <row r="412">
      <c r="A412" s="35"/>
      <c r="B412" s="35"/>
      <c r="G412" s="25"/>
      <c r="L412" s="26"/>
    </row>
    <row r="413">
      <c r="A413" s="35"/>
      <c r="B413" s="35"/>
      <c r="G413" s="25"/>
      <c r="L413" s="26"/>
    </row>
    <row r="414">
      <c r="A414" s="35"/>
      <c r="B414" s="35"/>
      <c r="G414" s="25"/>
      <c r="L414" s="26"/>
    </row>
    <row r="415">
      <c r="A415" s="35"/>
      <c r="B415" s="35"/>
      <c r="G415" s="25"/>
      <c r="L415" s="26"/>
    </row>
    <row r="416">
      <c r="A416" s="35"/>
      <c r="B416" s="35"/>
      <c r="G416" s="25"/>
      <c r="L416" s="26"/>
    </row>
    <row r="417">
      <c r="A417" s="35"/>
      <c r="B417" s="35"/>
      <c r="G417" s="25"/>
      <c r="L417" s="26"/>
    </row>
    <row r="418">
      <c r="A418" s="35"/>
      <c r="B418" s="35"/>
      <c r="G418" s="25"/>
      <c r="L418" s="26"/>
    </row>
    <row r="419">
      <c r="A419" s="35"/>
      <c r="B419" s="35"/>
      <c r="G419" s="25"/>
      <c r="L419" s="26"/>
    </row>
    <row r="420">
      <c r="A420" s="35"/>
      <c r="B420" s="35"/>
      <c r="G420" s="25"/>
      <c r="L420" s="26"/>
    </row>
    <row r="421">
      <c r="A421" s="35"/>
      <c r="B421" s="35"/>
      <c r="G421" s="25"/>
      <c r="L421" s="26"/>
    </row>
    <row r="422">
      <c r="A422" s="35"/>
      <c r="B422" s="35"/>
      <c r="G422" s="25"/>
      <c r="L422" s="26"/>
    </row>
    <row r="423">
      <c r="A423" s="35"/>
      <c r="B423" s="35"/>
      <c r="G423" s="25"/>
      <c r="L423" s="26"/>
    </row>
    <row r="424">
      <c r="A424" s="35"/>
      <c r="B424" s="35"/>
      <c r="G424" s="25"/>
      <c r="L424" s="26"/>
    </row>
    <row r="425">
      <c r="A425" s="35"/>
      <c r="B425" s="35"/>
      <c r="G425" s="25"/>
      <c r="L425" s="26"/>
    </row>
    <row r="426">
      <c r="A426" s="35"/>
      <c r="B426" s="35"/>
      <c r="G426" s="25"/>
      <c r="L426" s="26"/>
    </row>
    <row r="427">
      <c r="A427" s="35"/>
      <c r="B427" s="35"/>
      <c r="G427" s="25"/>
      <c r="L427" s="26"/>
    </row>
    <row r="428">
      <c r="A428" s="35"/>
      <c r="B428" s="35"/>
      <c r="G428" s="25"/>
      <c r="L428" s="26"/>
    </row>
    <row r="429">
      <c r="A429" s="35"/>
      <c r="B429" s="35"/>
      <c r="G429" s="25"/>
      <c r="L429" s="26"/>
    </row>
    <row r="430">
      <c r="A430" s="35"/>
      <c r="B430" s="35"/>
      <c r="G430" s="25"/>
      <c r="L430" s="26"/>
    </row>
    <row r="431">
      <c r="A431" s="35"/>
      <c r="B431" s="35"/>
      <c r="G431" s="25"/>
      <c r="L431" s="26"/>
    </row>
    <row r="432">
      <c r="A432" s="35"/>
      <c r="B432" s="35"/>
      <c r="G432" s="25"/>
      <c r="L432" s="26"/>
    </row>
    <row r="433">
      <c r="A433" s="35"/>
      <c r="B433" s="35"/>
      <c r="G433" s="25"/>
      <c r="L433" s="26"/>
    </row>
    <row r="434">
      <c r="A434" s="35"/>
      <c r="B434" s="35"/>
      <c r="G434" s="25"/>
      <c r="L434" s="26"/>
    </row>
    <row r="435">
      <c r="A435" s="35"/>
      <c r="B435" s="35"/>
      <c r="G435" s="25"/>
      <c r="L435" s="26"/>
    </row>
    <row r="436">
      <c r="A436" s="35"/>
      <c r="B436" s="35"/>
      <c r="G436" s="25"/>
      <c r="L436" s="26"/>
    </row>
    <row r="437">
      <c r="A437" s="35"/>
      <c r="B437" s="35"/>
      <c r="G437" s="25"/>
      <c r="L437" s="26"/>
    </row>
    <row r="438">
      <c r="A438" s="35"/>
      <c r="B438" s="35"/>
      <c r="G438" s="25"/>
      <c r="L438" s="26"/>
    </row>
    <row r="439">
      <c r="A439" s="35"/>
      <c r="B439" s="35"/>
      <c r="G439" s="25"/>
      <c r="L439" s="26"/>
    </row>
    <row r="440">
      <c r="A440" s="35"/>
      <c r="B440" s="35"/>
      <c r="G440" s="25"/>
      <c r="L440" s="26"/>
    </row>
    <row r="441">
      <c r="A441" s="35"/>
      <c r="B441" s="35"/>
      <c r="G441" s="25"/>
      <c r="L441" s="26"/>
    </row>
    <row r="442">
      <c r="A442" s="35"/>
      <c r="B442" s="35"/>
      <c r="G442" s="25"/>
      <c r="L442" s="26"/>
    </row>
    <row r="443">
      <c r="A443" s="35"/>
      <c r="B443" s="35"/>
      <c r="G443" s="25"/>
      <c r="L443" s="26"/>
    </row>
    <row r="444">
      <c r="A444" s="35"/>
      <c r="B444" s="35"/>
      <c r="G444" s="25"/>
      <c r="L444" s="26"/>
    </row>
    <row r="445">
      <c r="A445" s="35"/>
      <c r="B445" s="35"/>
      <c r="G445" s="25"/>
      <c r="L445" s="26"/>
    </row>
    <row r="446">
      <c r="A446" s="35"/>
      <c r="B446" s="35"/>
      <c r="G446" s="25"/>
      <c r="L446" s="26"/>
    </row>
    <row r="447">
      <c r="A447" s="35"/>
      <c r="B447" s="35"/>
      <c r="G447" s="25"/>
      <c r="L447" s="26"/>
    </row>
    <row r="448">
      <c r="A448" s="35"/>
      <c r="B448" s="35"/>
      <c r="G448" s="25"/>
      <c r="L448" s="26"/>
    </row>
    <row r="449">
      <c r="A449" s="35"/>
      <c r="B449" s="35"/>
      <c r="G449" s="25"/>
      <c r="L449" s="26"/>
    </row>
    <row r="450">
      <c r="A450" s="35"/>
      <c r="B450" s="35"/>
      <c r="G450" s="25"/>
      <c r="L450" s="26"/>
    </row>
    <row r="451">
      <c r="A451" s="35"/>
      <c r="B451" s="35"/>
      <c r="G451" s="25"/>
      <c r="L451" s="26"/>
    </row>
    <row r="452">
      <c r="A452" s="35"/>
      <c r="B452" s="35"/>
      <c r="G452" s="25"/>
      <c r="L452" s="26"/>
    </row>
    <row r="453">
      <c r="A453" s="35"/>
      <c r="B453" s="35"/>
      <c r="G453" s="25"/>
      <c r="L453" s="26"/>
    </row>
    <row r="454">
      <c r="A454" s="35"/>
      <c r="B454" s="35"/>
      <c r="G454" s="25"/>
      <c r="L454" s="26"/>
    </row>
    <row r="455">
      <c r="A455" s="35"/>
      <c r="B455" s="35"/>
      <c r="G455" s="25"/>
      <c r="L455" s="26"/>
    </row>
    <row r="456">
      <c r="A456" s="35"/>
      <c r="B456" s="35"/>
      <c r="G456" s="25"/>
      <c r="L456" s="26"/>
    </row>
    <row r="457">
      <c r="A457" s="35"/>
      <c r="B457" s="35"/>
      <c r="G457" s="25"/>
      <c r="L457" s="26"/>
    </row>
    <row r="458">
      <c r="A458" s="35"/>
      <c r="B458" s="35"/>
      <c r="G458" s="25"/>
      <c r="L458" s="26"/>
    </row>
    <row r="459">
      <c r="A459" s="35"/>
      <c r="B459" s="35"/>
      <c r="G459" s="25"/>
      <c r="L459" s="26"/>
    </row>
    <row r="460">
      <c r="A460" s="35"/>
      <c r="B460" s="35"/>
      <c r="G460" s="25"/>
      <c r="L460" s="26"/>
    </row>
    <row r="461">
      <c r="A461" s="35"/>
      <c r="B461" s="35"/>
      <c r="G461" s="25"/>
      <c r="L461" s="26"/>
    </row>
    <row r="462">
      <c r="A462" s="35"/>
      <c r="B462" s="35"/>
      <c r="G462" s="25"/>
      <c r="L462" s="26"/>
    </row>
    <row r="463">
      <c r="A463" s="35"/>
      <c r="B463" s="35"/>
      <c r="G463" s="25"/>
      <c r="L463" s="26"/>
    </row>
    <row r="464">
      <c r="A464" s="35"/>
      <c r="B464" s="35"/>
      <c r="G464" s="25"/>
      <c r="L464" s="26"/>
    </row>
    <row r="465">
      <c r="A465" s="35"/>
      <c r="B465" s="35"/>
      <c r="G465" s="25"/>
      <c r="L465" s="26"/>
    </row>
    <row r="466">
      <c r="A466" s="35"/>
      <c r="B466" s="35"/>
      <c r="G466" s="25"/>
      <c r="L466" s="26"/>
    </row>
    <row r="467">
      <c r="A467" s="35"/>
      <c r="B467" s="35"/>
      <c r="G467" s="25"/>
      <c r="L467" s="26"/>
    </row>
    <row r="468">
      <c r="A468" s="35"/>
      <c r="B468" s="35"/>
      <c r="G468" s="25"/>
      <c r="L468" s="26"/>
    </row>
    <row r="469">
      <c r="A469" s="35"/>
      <c r="B469" s="35"/>
      <c r="G469" s="25"/>
      <c r="L469" s="26"/>
    </row>
    <row r="470">
      <c r="A470" s="35"/>
      <c r="B470" s="35"/>
      <c r="G470" s="25"/>
      <c r="L470" s="26"/>
    </row>
    <row r="471">
      <c r="A471" s="35"/>
      <c r="B471" s="35"/>
      <c r="G471" s="25"/>
      <c r="L471" s="26"/>
    </row>
    <row r="472">
      <c r="A472" s="35"/>
      <c r="B472" s="35"/>
      <c r="G472" s="25"/>
      <c r="L472" s="26"/>
    </row>
    <row r="473">
      <c r="A473" s="35"/>
      <c r="B473" s="35"/>
      <c r="G473" s="25"/>
      <c r="L473" s="26"/>
    </row>
    <row r="474">
      <c r="A474" s="35"/>
      <c r="B474" s="35"/>
      <c r="G474" s="25"/>
      <c r="L474" s="26"/>
    </row>
    <row r="475">
      <c r="A475" s="35"/>
      <c r="B475" s="35"/>
      <c r="G475" s="25"/>
      <c r="L475" s="26"/>
    </row>
    <row r="476">
      <c r="A476" s="35"/>
      <c r="B476" s="35"/>
      <c r="G476" s="25"/>
      <c r="L476" s="26"/>
    </row>
    <row r="477">
      <c r="A477" s="35"/>
      <c r="B477" s="35"/>
      <c r="G477" s="25"/>
      <c r="L477" s="26"/>
    </row>
    <row r="478">
      <c r="A478" s="35"/>
      <c r="B478" s="35"/>
      <c r="G478" s="25"/>
      <c r="L478" s="26"/>
    </row>
    <row r="479">
      <c r="A479" s="35"/>
      <c r="B479" s="35"/>
      <c r="G479" s="25"/>
      <c r="L479" s="26"/>
    </row>
    <row r="480">
      <c r="A480" s="35"/>
      <c r="B480" s="35"/>
      <c r="G480" s="25"/>
      <c r="L480" s="26"/>
    </row>
    <row r="481">
      <c r="A481" s="35"/>
      <c r="B481" s="35"/>
      <c r="G481" s="25"/>
      <c r="L481" s="26"/>
    </row>
    <row r="482">
      <c r="A482" s="35"/>
      <c r="B482" s="35"/>
      <c r="G482" s="25"/>
      <c r="L482" s="26"/>
    </row>
    <row r="483">
      <c r="A483" s="35"/>
      <c r="B483" s="35"/>
      <c r="G483" s="25"/>
      <c r="L483" s="26"/>
    </row>
    <row r="484">
      <c r="A484" s="35"/>
      <c r="B484" s="35"/>
      <c r="G484" s="25"/>
      <c r="L484" s="26"/>
    </row>
    <row r="485">
      <c r="A485" s="35"/>
      <c r="B485" s="35"/>
      <c r="G485" s="25"/>
      <c r="L485" s="26"/>
    </row>
    <row r="486">
      <c r="A486" s="35"/>
      <c r="B486" s="35"/>
      <c r="G486" s="25"/>
      <c r="L486" s="26"/>
    </row>
    <row r="487">
      <c r="A487" s="35"/>
      <c r="B487" s="35"/>
      <c r="G487" s="25"/>
      <c r="L487" s="26"/>
    </row>
    <row r="488">
      <c r="A488" s="35"/>
      <c r="B488" s="35"/>
      <c r="G488" s="25"/>
      <c r="L488" s="26"/>
    </row>
    <row r="489">
      <c r="A489" s="35"/>
      <c r="B489" s="35"/>
      <c r="G489" s="25"/>
      <c r="L489" s="26"/>
    </row>
    <row r="490">
      <c r="A490" s="35"/>
      <c r="B490" s="35"/>
      <c r="G490" s="25"/>
      <c r="L490" s="26"/>
    </row>
    <row r="491">
      <c r="A491" s="35"/>
      <c r="B491" s="35"/>
      <c r="G491" s="25"/>
      <c r="L491" s="26"/>
    </row>
    <row r="492">
      <c r="A492" s="35"/>
      <c r="B492" s="35"/>
      <c r="G492" s="25"/>
      <c r="L492" s="26"/>
    </row>
    <row r="493">
      <c r="A493" s="35"/>
      <c r="B493" s="35"/>
      <c r="G493" s="25"/>
      <c r="L493" s="26"/>
    </row>
    <row r="494">
      <c r="A494" s="35"/>
      <c r="B494" s="35"/>
      <c r="G494" s="25"/>
      <c r="L494" s="26"/>
    </row>
    <row r="495">
      <c r="A495" s="35"/>
      <c r="B495" s="35"/>
      <c r="G495" s="25"/>
      <c r="L495" s="26"/>
    </row>
    <row r="496">
      <c r="A496" s="35"/>
      <c r="B496" s="35"/>
      <c r="G496" s="25"/>
      <c r="L496" s="26"/>
    </row>
    <row r="497">
      <c r="A497" s="35"/>
      <c r="B497" s="35"/>
      <c r="G497" s="25"/>
      <c r="L497" s="26"/>
    </row>
    <row r="498">
      <c r="A498" s="35"/>
      <c r="B498" s="35"/>
      <c r="G498" s="25"/>
      <c r="L498" s="26"/>
    </row>
    <row r="499">
      <c r="A499" s="35"/>
      <c r="B499" s="35"/>
      <c r="G499" s="25"/>
      <c r="L499" s="26"/>
    </row>
    <row r="500">
      <c r="A500" s="35"/>
      <c r="B500" s="35"/>
      <c r="G500" s="25"/>
      <c r="L500" s="26"/>
    </row>
    <row r="501">
      <c r="A501" s="35"/>
      <c r="B501" s="35"/>
      <c r="G501" s="25"/>
      <c r="L501" s="26"/>
    </row>
    <row r="502">
      <c r="A502" s="35"/>
      <c r="B502" s="35"/>
      <c r="G502" s="25"/>
      <c r="L502" s="26"/>
    </row>
    <row r="503">
      <c r="A503" s="35"/>
      <c r="B503" s="35"/>
      <c r="G503" s="25"/>
      <c r="L503" s="26"/>
    </row>
    <row r="504">
      <c r="A504" s="35"/>
      <c r="B504" s="35"/>
      <c r="G504" s="25"/>
      <c r="L504" s="26"/>
    </row>
    <row r="505">
      <c r="A505" s="35"/>
      <c r="B505" s="35"/>
      <c r="G505" s="25"/>
      <c r="L505" s="26"/>
    </row>
    <row r="506">
      <c r="A506" s="35"/>
      <c r="B506" s="35"/>
      <c r="G506" s="25"/>
      <c r="L506" s="26"/>
    </row>
    <row r="507">
      <c r="A507" s="35"/>
      <c r="B507" s="35"/>
      <c r="G507" s="25"/>
      <c r="L507" s="26"/>
    </row>
    <row r="508">
      <c r="A508" s="35"/>
      <c r="B508" s="35"/>
      <c r="G508" s="25"/>
      <c r="L508" s="26"/>
    </row>
    <row r="509">
      <c r="A509" s="35"/>
      <c r="B509" s="35"/>
      <c r="G509" s="25"/>
      <c r="L509" s="26"/>
    </row>
    <row r="510">
      <c r="A510" s="35"/>
      <c r="B510" s="35"/>
      <c r="G510" s="25"/>
      <c r="L510" s="26"/>
    </row>
    <row r="511">
      <c r="A511" s="35"/>
      <c r="B511" s="35"/>
      <c r="G511" s="25"/>
      <c r="L511" s="26"/>
    </row>
    <row r="512">
      <c r="A512" s="35"/>
      <c r="B512" s="35"/>
      <c r="G512" s="25"/>
      <c r="L512" s="26"/>
    </row>
    <row r="513">
      <c r="A513" s="35"/>
      <c r="B513" s="35"/>
      <c r="G513" s="25"/>
      <c r="L513" s="26"/>
    </row>
    <row r="514">
      <c r="A514" s="35"/>
      <c r="B514" s="35"/>
      <c r="G514" s="25"/>
      <c r="L514" s="26"/>
    </row>
    <row r="515">
      <c r="A515" s="35"/>
      <c r="B515" s="35"/>
      <c r="G515" s="25"/>
      <c r="L515" s="26"/>
    </row>
    <row r="516">
      <c r="A516" s="35"/>
      <c r="B516" s="35"/>
      <c r="G516" s="25"/>
      <c r="L516" s="26"/>
    </row>
    <row r="517">
      <c r="A517" s="35"/>
      <c r="B517" s="35"/>
      <c r="G517" s="25"/>
      <c r="L517" s="26"/>
    </row>
    <row r="518">
      <c r="A518" s="35"/>
      <c r="B518" s="35"/>
      <c r="G518" s="25"/>
      <c r="L518" s="26"/>
    </row>
    <row r="519">
      <c r="A519" s="35"/>
      <c r="B519" s="35"/>
      <c r="G519" s="25"/>
      <c r="L519" s="26"/>
    </row>
    <row r="520">
      <c r="A520" s="35"/>
      <c r="B520" s="35"/>
      <c r="G520" s="25"/>
      <c r="L520" s="26"/>
    </row>
    <row r="521">
      <c r="A521" s="35"/>
      <c r="B521" s="35"/>
      <c r="G521" s="25"/>
      <c r="L521" s="26"/>
    </row>
    <row r="522">
      <c r="A522" s="35"/>
      <c r="B522" s="35"/>
      <c r="G522" s="25"/>
      <c r="L522" s="26"/>
    </row>
    <row r="523">
      <c r="A523" s="35"/>
      <c r="B523" s="35"/>
      <c r="G523" s="25"/>
      <c r="L523" s="26"/>
    </row>
    <row r="524">
      <c r="A524" s="35"/>
      <c r="B524" s="35"/>
      <c r="G524" s="25"/>
      <c r="L524" s="26"/>
    </row>
    <row r="525">
      <c r="A525" s="35"/>
      <c r="B525" s="35"/>
      <c r="G525" s="25"/>
      <c r="L525" s="26"/>
    </row>
    <row r="526">
      <c r="A526" s="35"/>
      <c r="B526" s="35"/>
      <c r="G526" s="25"/>
      <c r="L526" s="26"/>
    </row>
    <row r="527">
      <c r="A527" s="35"/>
      <c r="B527" s="35"/>
      <c r="G527" s="25"/>
      <c r="L527" s="26"/>
    </row>
    <row r="528">
      <c r="A528" s="35"/>
      <c r="B528" s="35"/>
      <c r="G528" s="25"/>
      <c r="L528" s="26"/>
    </row>
    <row r="529">
      <c r="A529" s="35"/>
      <c r="B529" s="35"/>
      <c r="G529" s="25"/>
      <c r="L529" s="26"/>
    </row>
    <row r="530">
      <c r="A530" s="35"/>
      <c r="B530" s="35"/>
      <c r="G530" s="25"/>
      <c r="L530" s="26"/>
    </row>
    <row r="531">
      <c r="A531" s="35"/>
      <c r="B531" s="35"/>
      <c r="G531" s="25"/>
      <c r="L531" s="26"/>
    </row>
    <row r="532">
      <c r="A532" s="35"/>
      <c r="B532" s="35"/>
      <c r="G532" s="25"/>
      <c r="L532" s="26"/>
    </row>
    <row r="533">
      <c r="A533" s="35"/>
      <c r="B533" s="35"/>
      <c r="G533" s="25"/>
      <c r="L533" s="26"/>
    </row>
    <row r="534">
      <c r="A534" s="35"/>
      <c r="B534" s="35"/>
      <c r="G534" s="25"/>
      <c r="L534" s="26"/>
    </row>
    <row r="535">
      <c r="A535" s="35"/>
      <c r="B535" s="35"/>
      <c r="G535" s="25"/>
      <c r="L535" s="26"/>
    </row>
    <row r="536">
      <c r="A536" s="35"/>
      <c r="B536" s="35"/>
      <c r="G536" s="25"/>
      <c r="L536" s="26"/>
    </row>
    <row r="537">
      <c r="A537" s="35"/>
      <c r="B537" s="35"/>
      <c r="G537" s="25"/>
      <c r="L537" s="26"/>
    </row>
    <row r="538">
      <c r="A538" s="35"/>
      <c r="B538" s="35"/>
      <c r="G538" s="25"/>
      <c r="L538" s="26"/>
    </row>
    <row r="539">
      <c r="A539" s="35"/>
      <c r="B539" s="35"/>
      <c r="G539" s="25"/>
      <c r="L539" s="26"/>
    </row>
    <row r="540">
      <c r="A540" s="35"/>
      <c r="B540" s="35"/>
      <c r="G540" s="25"/>
      <c r="L540" s="26"/>
    </row>
    <row r="541">
      <c r="A541" s="35"/>
      <c r="B541" s="35"/>
      <c r="G541" s="25"/>
      <c r="L541" s="26"/>
    </row>
    <row r="542">
      <c r="A542" s="35"/>
      <c r="B542" s="35"/>
      <c r="G542" s="25"/>
      <c r="L542" s="26"/>
    </row>
    <row r="543">
      <c r="A543" s="35"/>
      <c r="B543" s="35"/>
      <c r="G543" s="25"/>
      <c r="L543" s="26"/>
    </row>
    <row r="544">
      <c r="A544" s="35"/>
      <c r="B544" s="35"/>
      <c r="G544" s="25"/>
      <c r="L544" s="26"/>
    </row>
    <row r="545">
      <c r="A545" s="35"/>
      <c r="B545" s="35"/>
      <c r="G545" s="25"/>
      <c r="L545" s="26"/>
    </row>
    <row r="546">
      <c r="A546" s="35"/>
      <c r="B546" s="35"/>
      <c r="G546" s="25"/>
      <c r="L546" s="26"/>
    </row>
    <row r="547">
      <c r="A547" s="35"/>
      <c r="B547" s="35"/>
      <c r="G547" s="25"/>
      <c r="L547" s="26"/>
    </row>
    <row r="548">
      <c r="A548" s="35"/>
      <c r="B548" s="35"/>
      <c r="G548" s="25"/>
      <c r="L548" s="26"/>
    </row>
    <row r="549">
      <c r="A549" s="35"/>
      <c r="B549" s="35"/>
      <c r="G549" s="25"/>
      <c r="L549" s="26"/>
    </row>
    <row r="550">
      <c r="A550" s="35"/>
      <c r="B550" s="35"/>
      <c r="G550" s="25"/>
      <c r="L550" s="26"/>
    </row>
    <row r="551">
      <c r="A551" s="35"/>
      <c r="B551" s="35"/>
      <c r="G551" s="25"/>
      <c r="L551" s="26"/>
    </row>
    <row r="552">
      <c r="A552" s="35"/>
      <c r="B552" s="35"/>
      <c r="G552" s="25"/>
      <c r="L552" s="26"/>
    </row>
    <row r="553">
      <c r="A553" s="35"/>
      <c r="B553" s="35"/>
      <c r="G553" s="25"/>
      <c r="L553" s="26"/>
    </row>
    <row r="554">
      <c r="A554" s="35"/>
      <c r="B554" s="35"/>
      <c r="G554" s="25"/>
      <c r="L554" s="26"/>
    </row>
    <row r="555">
      <c r="A555" s="35"/>
      <c r="B555" s="35"/>
      <c r="G555" s="25"/>
      <c r="L555" s="26"/>
    </row>
    <row r="556">
      <c r="A556" s="35"/>
      <c r="B556" s="35"/>
      <c r="G556" s="25"/>
      <c r="L556" s="26"/>
    </row>
    <row r="557">
      <c r="A557" s="35"/>
      <c r="B557" s="35"/>
      <c r="G557" s="25"/>
      <c r="L557" s="26"/>
    </row>
    <row r="558">
      <c r="A558" s="35"/>
      <c r="B558" s="35"/>
      <c r="G558" s="25"/>
      <c r="L558" s="26"/>
    </row>
    <row r="559">
      <c r="A559" s="35"/>
      <c r="B559" s="35"/>
      <c r="G559" s="25"/>
      <c r="L559" s="26"/>
    </row>
    <row r="560">
      <c r="A560" s="35"/>
      <c r="B560" s="35"/>
      <c r="G560" s="25"/>
      <c r="L560" s="26"/>
    </row>
    <row r="561">
      <c r="A561" s="35"/>
      <c r="B561" s="35"/>
      <c r="G561" s="25"/>
      <c r="L561" s="26"/>
    </row>
    <row r="562">
      <c r="A562" s="35"/>
      <c r="B562" s="35"/>
      <c r="G562" s="25"/>
      <c r="L562" s="26"/>
    </row>
    <row r="563">
      <c r="A563" s="35"/>
      <c r="B563" s="35"/>
      <c r="G563" s="25"/>
      <c r="L563" s="26"/>
    </row>
    <row r="564">
      <c r="A564" s="35"/>
      <c r="B564" s="35"/>
      <c r="G564" s="25"/>
      <c r="L564" s="26"/>
    </row>
    <row r="565">
      <c r="A565" s="35"/>
      <c r="B565" s="35"/>
      <c r="G565" s="25"/>
      <c r="L565" s="26"/>
    </row>
    <row r="566">
      <c r="A566" s="35"/>
      <c r="B566" s="35"/>
      <c r="G566" s="25"/>
      <c r="L566" s="26"/>
    </row>
    <row r="567">
      <c r="A567" s="35"/>
      <c r="B567" s="35"/>
      <c r="G567" s="25"/>
      <c r="L567" s="26"/>
    </row>
    <row r="568">
      <c r="A568" s="35"/>
      <c r="B568" s="35"/>
      <c r="G568" s="25"/>
      <c r="L568" s="26"/>
    </row>
    <row r="569">
      <c r="A569" s="35"/>
      <c r="B569" s="35"/>
      <c r="G569" s="25"/>
      <c r="L569" s="26"/>
    </row>
    <row r="570">
      <c r="A570" s="35"/>
      <c r="B570" s="35"/>
      <c r="G570" s="25"/>
      <c r="L570" s="26"/>
    </row>
    <row r="571">
      <c r="A571" s="35"/>
      <c r="B571" s="35"/>
      <c r="G571" s="25"/>
      <c r="L571" s="26"/>
    </row>
    <row r="572">
      <c r="A572" s="35"/>
      <c r="B572" s="35"/>
      <c r="G572" s="25"/>
      <c r="L572" s="26"/>
    </row>
    <row r="573">
      <c r="A573" s="35"/>
      <c r="B573" s="35"/>
      <c r="G573" s="25"/>
      <c r="L573" s="26"/>
    </row>
    <row r="574">
      <c r="A574" s="35"/>
      <c r="B574" s="35"/>
      <c r="G574" s="25"/>
      <c r="L574" s="26"/>
    </row>
    <row r="575">
      <c r="A575" s="35"/>
      <c r="B575" s="35"/>
      <c r="G575" s="25"/>
      <c r="L575" s="26"/>
    </row>
    <row r="576">
      <c r="A576" s="35"/>
      <c r="B576" s="35"/>
      <c r="G576" s="25"/>
      <c r="L576" s="26"/>
    </row>
    <row r="577">
      <c r="A577" s="35"/>
      <c r="B577" s="35"/>
      <c r="G577" s="25"/>
      <c r="L577" s="26"/>
    </row>
    <row r="578">
      <c r="A578" s="35"/>
      <c r="B578" s="35"/>
      <c r="G578" s="25"/>
      <c r="L578" s="26"/>
    </row>
    <row r="579">
      <c r="A579" s="35"/>
      <c r="B579" s="35"/>
      <c r="G579" s="25"/>
      <c r="L579" s="26"/>
    </row>
    <row r="580">
      <c r="A580" s="35"/>
      <c r="B580" s="35"/>
      <c r="G580" s="25"/>
      <c r="L580" s="26"/>
    </row>
    <row r="581">
      <c r="A581" s="35"/>
      <c r="B581" s="35"/>
      <c r="G581" s="25"/>
      <c r="L581" s="26"/>
    </row>
    <row r="582">
      <c r="A582" s="35"/>
      <c r="B582" s="35"/>
      <c r="G582" s="25"/>
      <c r="L582" s="26"/>
    </row>
    <row r="583">
      <c r="A583" s="35"/>
      <c r="B583" s="35"/>
      <c r="G583" s="25"/>
      <c r="L583" s="26"/>
    </row>
    <row r="584">
      <c r="A584" s="35"/>
      <c r="B584" s="35"/>
      <c r="G584" s="25"/>
      <c r="L584" s="26"/>
    </row>
    <row r="585">
      <c r="A585" s="35"/>
      <c r="B585" s="35"/>
      <c r="G585" s="25"/>
      <c r="L585" s="26"/>
    </row>
    <row r="586">
      <c r="A586" s="35"/>
      <c r="B586" s="35"/>
      <c r="G586" s="25"/>
      <c r="L586" s="26"/>
    </row>
    <row r="587">
      <c r="A587" s="35"/>
      <c r="B587" s="35"/>
      <c r="G587" s="25"/>
      <c r="L587" s="26"/>
    </row>
    <row r="588">
      <c r="A588" s="35"/>
      <c r="B588" s="35"/>
      <c r="G588" s="25"/>
      <c r="L588" s="26"/>
    </row>
    <row r="589">
      <c r="A589" s="35"/>
      <c r="B589" s="35"/>
      <c r="G589" s="25"/>
      <c r="L589" s="26"/>
    </row>
    <row r="590">
      <c r="A590" s="35"/>
      <c r="B590" s="35"/>
      <c r="G590" s="25"/>
      <c r="L590" s="26"/>
    </row>
    <row r="591">
      <c r="A591" s="35"/>
      <c r="B591" s="35"/>
      <c r="G591" s="25"/>
      <c r="L591" s="26"/>
    </row>
    <row r="592">
      <c r="A592" s="35"/>
      <c r="B592" s="35"/>
      <c r="G592" s="25"/>
      <c r="L592" s="26"/>
    </row>
    <row r="593">
      <c r="A593" s="35"/>
      <c r="B593" s="35"/>
      <c r="G593" s="25"/>
      <c r="L593" s="26"/>
    </row>
    <row r="594">
      <c r="A594" s="35"/>
      <c r="B594" s="35"/>
      <c r="G594" s="25"/>
      <c r="L594" s="26"/>
    </row>
    <row r="595">
      <c r="A595" s="35"/>
      <c r="B595" s="35"/>
      <c r="G595" s="25"/>
      <c r="L595" s="26"/>
    </row>
    <row r="596">
      <c r="A596" s="35"/>
      <c r="B596" s="35"/>
      <c r="G596" s="25"/>
      <c r="L596" s="26"/>
    </row>
    <row r="597">
      <c r="A597" s="35"/>
      <c r="B597" s="35"/>
      <c r="G597" s="25"/>
      <c r="L597" s="26"/>
    </row>
    <row r="598">
      <c r="A598" s="35"/>
      <c r="B598" s="35"/>
      <c r="G598" s="25"/>
      <c r="L598" s="26"/>
    </row>
    <row r="599">
      <c r="A599" s="35"/>
      <c r="B599" s="35"/>
      <c r="G599" s="25"/>
      <c r="L599" s="26"/>
    </row>
    <row r="600">
      <c r="A600" s="35"/>
      <c r="B600" s="35"/>
      <c r="G600" s="25"/>
      <c r="L600" s="26"/>
    </row>
    <row r="601">
      <c r="A601" s="35"/>
      <c r="B601" s="35"/>
      <c r="G601" s="25"/>
      <c r="L601" s="26"/>
    </row>
    <row r="602">
      <c r="A602" s="35"/>
      <c r="B602" s="35"/>
      <c r="G602" s="25"/>
      <c r="L602" s="26"/>
    </row>
    <row r="603">
      <c r="A603" s="35"/>
      <c r="B603" s="35"/>
      <c r="G603" s="25"/>
      <c r="L603" s="26"/>
    </row>
    <row r="604">
      <c r="A604" s="35"/>
      <c r="B604" s="35"/>
      <c r="G604" s="25"/>
      <c r="L604" s="26"/>
    </row>
    <row r="605">
      <c r="A605" s="35"/>
      <c r="B605" s="35"/>
      <c r="G605" s="25"/>
      <c r="L605" s="26"/>
    </row>
    <row r="606">
      <c r="A606" s="35"/>
      <c r="B606" s="35"/>
      <c r="G606" s="25"/>
      <c r="L606" s="26"/>
    </row>
    <row r="607">
      <c r="A607" s="35"/>
      <c r="B607" s="35"/>
      <c r="G607" s="25"/>
      <c r="L607" s="26"/>
    </row>
    <row r="608">
      <c r="A608" s="35"/>
      <c r="B608" s="35"/>
      <c r="G608" s="25"/>
      <c r="L608" s="26"/>
    </row>
    <row r="609">
      <c r="A609" s="35"/>
      <c r="B609" s="35"/>
      <c r="G609" s="25"/>
      <c r="L609" s="26"/>
    </row>
    <row r="610">
      <c r="A610" s="35"/>
      <c r="B610" s="35"/>
      <c r="G610" s="25"/>
      <c r="L610" s="26"/>
    </row>
    <row r="611">
      <c r="A611" s="35"/>
      <c r="B611" s="35"/>
      <c r="G611" s="25"/>
      <c r="L611" s="26"/>
    </row>
    <row r="612">
      <c r="A612" s="35"/>
      <c r="B612" s="35"/>
      <c r="G612" s="25"/>
      <c r="L612" s="26"/>
    </row>
    <row r="613">
      <c r="A613" s="35"/>
      <c r="B613" s="35"/>
      <c r="G613" s="25"/>
      <c r="L613" s="26"/>
    </row>
    <row r="614">
      <c r="A614" s="35"/>
      <c r="B614" s="35"/>
      <c r="G614" s="25"/>
      <c r="L614" s="26"/>
    </row>
    <row r="615">
      <c r="A615" s="35"/>
      <c r="B615" s="35"/>
      <c r="G615" s="25"/>
      <c r="L615" s="26"/>
    </row>
    <row r="616">
      <c r="A616" s="35"/>
      <c r="B616" s="35"/>
      <c r="G616" s="25"/>
      <c r="L616" s="26"/>
    </row>
    <row r="617">
      <c r="A617" s="35"/>
      <c r="B617" s="35"/>
      <c r="G617" s="25"/>
      <c r="L617" s="26"/>
    </row>
    <row r="618">
      <c r="A618" s="35"/>
      <c r="B618" s="35"/>
      <c r="G618" s="25"/>
      <c r="L618" s="26"/>
    </row>
    <row r="619">
      <c r="A619" s="35"/>
      <c r="B619" s="35"/>
      <c r="G619" s="25"/>
      <c r="L619" s="26"/>
    </row>
    <row r="620">
      <c r="A620" s="35"/>
      <c r="B620" s="35"/>
      <c r="G620" s="25"/>
      <c r="L620" s="26"/>
    </row>
    <row r="621">
      <c r="A621" s="35"/>
      <c r="B621" s="35"/>
      <c r="G621" s="25"/>
      <c r="L621" s="26"/>
    </row>
    <row r="622">
      <c r="A622" s="35"/>
      <c r="B622" s="35"/>
      <c r="G622" s="25"/>
      <c r="L622" s="26"/>
    </row>
    <row r="623">
      <c r="A623" s="35"/>
      <c r="B623" s="35"/>
      <c r="G623" s="25"/>
      <c r="L623" s="26"/>
    </row>
    <row r="624">
      <c r="A624" s="35"/>
      <c r="B624" s="35"/>
      <c r="G624" s="25"/>
      <c r="L624" s="26"/>
    </row>
    <row r="625">
      <c r="A625" s="35"/>
      <c r="B625" s="35"/>
      <c r="G625" s="25"/>
      <c r="L625" s="26"/>
    </row>
    <row r="626">
      <c r="A626" s="35"/>
      <c r="B626" s="35"/>
      <c r="G626" s="25"/>
      <c r="L626" s="26"/>
    </row>
    <row r="627">
      <c r="A627" s="35"/>
      <c r="B627" s="35"/>
      <c r="G627" s="25"/>
      <c r="L627" s="26"/>
    </row>
    <row r="628">
      <c r="A628" s="35"/>
      <c r="B628" s="35"/>
      <c r="G628" s="25"/>
      <c r="L628" s="26"/>
    </row>
    <row r="629">
      <c r="A629" s="35"/>
      <c r="B629" s="35"/>
      <c r="G629" s="25"/>
      <c r="L629" s="26"/>
    </row>
    <row r="630">
      <c r="A630" s="35"/>
      <c r="B630" s="35"/>
      <c r="G630" s="25"/>
      <c r="L630" s="26"/>
    </row>
    <row r="631">
      <c r="A631" s="35"/>
      <c r="B631" s="35"/>
      <c r="G631" s="25"/>
      <c r="L631" s="26"/>
    </row>
    <row r="632">
      <c r="A632" s="35"/>
      <c r="B632" s="35"/>
      <c r="G632" s="25"/>
      <c r="L632" s="26"/>
    </row>
    <row r="633">
      <c r="A633" s="35"/>
      <c r="B633" s="35"/>
      <c r="G633" s="25"/>
      <c r="L633" s="26"/>
    </row>
    <row r="634">
      <c r="A634" s="35"/>
      <c r="B634" s="35"/>
      <c r="G634" s="25"/>
      <c r="L634" s="26"/>
    </row>
    <row r="635">
      <c r="A635" s="35"/>
      <c r="B635" s="35"/>
      <c r="G635" s="25"/>
      <c r="L635" s="26"/>
    </row>
    <row r="636">
      <c r="A636" s="35"/>
      <c r="B636" s="35"/>
      <c r="G636" s="25"/>
      <c r="L636" s="26"/>
    </row>
    <row r="637">
      <c r="A637" s="35"/>
      <c r="B637" s="35"/>
      <c r="G637" s="25"/>
      <c r="L637" s="26"/>
    </row>
    <row r="638">
      <c r="A638" s="35"/>
      <c r="B638" s="35"/>
      <c r="G638" s="25"/>
      <c r="L638" s="26"/>
    </row>
    <row r="639">
      <c r="A639" s="35"/>
      <c r="B639" s="35"/>
      <c r="G639" s="25"/>
      <c r="L639" s="26"/>
    </row>
    <row r="640">
      <c r="A640" s="35"/>
      <c r="B640" s="35"/>
      <c r="G640" s="25"/>
      <c r="L640" s="26"/>
    </row>
    <row r="641">
      <c r="A641" s="35"/>
      <c r="B641" s="35"/>
      <c r="G641" s="25"/>
      <c r="L641" s="26"/>
    </row>
    <row r="642">
      <c r="A642" s="35"/>
      <c r="B642" s="35"/>
      <c r="G642" s="25"/>
      <c r="L642" s="26"/>
    </row>
    <row r="643">
      <c r="A643" s="35"/>
      <c r="B643" s="35"/>
      <c r="G643" s="25"/>
      <c r="L643" s="26"/>
    </row>
    <row r="644">
      <c r="A644" s="35"/>
      <c r="B644" s="35"/>
      <c r="G644" s="25"/>
      <c r="L644" s="26"/>
    </row>
    <row r="645">
      <c r="A645" s="35"/>
      <c r="B645" s="35"/>
      <c r="G645" s="25"/>
      <c r="L645" s="26"/>
    </row>
    <row r="646">
      <c r="A646" s="35"/>
      <c r="B646" s="35"/>
      <c r="G646" s="25"/>
      <c r="L646" s="26"/>
    </row>
    <row r="647">
      <c r="A647" s="35"/>
      <c r="B647" s="35"/>
      <c r="G647" s="25"/>
      <c r="L647" s="26"/>
    </row>
    <row r="648">
      <c r="A648" s="35"/>
      <c r="B648" s="35"/>
      <c r="G648" s="25"/>
      <c r="L648" s="26"/>
    </row>
    <row r="649">
      <c r="A649" s="35"/>
      <c r="B649" s="35"/>
      <c r="G649" s="25"/>
      <c r="L649" s="26"/>
    </row>
    <row r="650">
      <c r="A650" s="35"/>
      <c r="B650" s="35"/>
      <c r="G650" s="25"/>
      <c r="L650" s="26"/>
    </row>
    <row r="651">
      <c r="A651" s="35"/>
      <c r="B651" s="35"/>
      <c r="G651" s="25"/>
      <c r="L651" s="26"/>
    </row>
    <row r="652">
      <c r="A652" s="35"/>
      <c r="B652" s="35"/>
      <c r="G652" s="25"/>
      <c r="L652" s="26"/>
    </row>
    <row r="653">
      <c r="A653" s="35"/>
      <c r="B653" s="35"/>
      <c r="G653" s="25"/>
      <c r="L653" s="26"/>
    </row>
    <row r="654">
      <c r="A654" s="35"/>
      <c r="B654" s="35"/>
      <c r="G654" s="25"/>
      <c r="L654" s="26"/>
    </row>
    <row r="655">
      <c r="A655" s="35"/>
      <c r="B655" s="35"/>
      <c r="G655" s="25"/>
      <c r="L655" s="26"/>
    </row>
    <row r="656">
      <c r="A656" s="35"/>
      <c r="B656" s="35"/>
      <c r="G656" s="25"/>
      <c r="L656" s="26"/>
    </row>
    <row r="657">
      <c r="A657" s="35"/>
      <c r="B657" s="35"/>
      <c r="G657" s="25"/>
      <c r="L657" s="26"/>
    </row>
    <row r="658">
      <c r="A658" s="35"/>
      <c r="B658" s="35"/>
      <c r="G658" s="25"/>
      <c r="L658" s="26"/>
    </row>
    <row r="659">
      <c r="A659" s="35"/>
      <c r="B659" s="35"/>
      <c r="G659" s="25"/>
      <c r="L659" s="26"/>
    </row>
    <row r="660">
      <c r="A660" s="35"/>
      <c r="B660" s="35"/>
      <c r="G660" s="25"/>
      <c r="L660" s="26"/>
    </row>
    <row r="661">
      <c r="A661" s="35"/>
      <c r="B661" s="35"/>
      <c r="G661" s="25"/>
      <c r="L661" s="26"/>
    </row>
    <row r="662">
      <c r="A662" s="35"/>
      <c r="B662" s="35"/>
      <c r="G662" s="25"/>
      <c r="L662" s="26"/>
    </row>
    <row r="663">
      <c r="A663" s="35"/>
      <c r="B663" s="35"/>
      <c r="G663" s="25"/>
      <c r="L663" s="26"/>
    </row>
    <row r="664">
      <c r="A664" s="35"/>
      <c r="B664" s="35"/>
      <c r="G664" s="25"/>
      <c r="L664" s="26"/>
    </row>
    <row r="665">
      <c r="A665" s="35"/>
      <c r="B665" s="35"/>
      <c r="G665" s="25"/>
      <c r="L665" s="26"/>
    </row>
    <row r="666">
      <c r="A666" s="35"/>
      <c r="B666" s="35"/>
      <c r="G666" s="25"/>
      <c r="L666" s="26"/>
    </row>
    <row r="667">
      <c r="A667" s="35"/>
      <c r="B667" s="35"/>
      <c r="G667" s="25"/>
      <c r="L667" s="26"/>
    </row>
    <row r="668">
      <c r="A668" s="35"/>
      <c r="B668" s="35"/>
      <c r="G668" s="25"/>
      <c r="L668" s="26"/>
    </row>
    <row r="669">
      <c r="A669" s="35"/>
      <c r="B669" s="35"/>
      <c r="G669" s="25"/>
      <c r="L669" s="26"/>
    </row>
    <row r="670">
      <c r="A670" s="35"/>
      <c r="B670" s="35"/>
      <c r="G670" s="25"/>
      <c r="L670" s="26"/>
    </row>
    <row r="671">
      <c r="A671" s="35"/>
      <c r="B671" s="35"/>
      <c r="G671" s="25"/>
      <c r="L671" s="26"/>
    </row>
    <row r="672">
      <c r="A672" s="35"/>
      <c r="B672" s="35"/>
      <c r="G672" s="25"/>
      <c r="L672" s="26"/>
    </row>
    <row r="673">
      <c r="A673" s="35"/>
      <c r="B673" s="35"/>
      <c r="G673" s="25"/>
      <c r="L673" s="26"/>
    </row>
    <row r="674">
      <c r="A674" s="35"/>
      <c r="B674" s="35"/>
      <c r="G674" s="25"/>
      <c r="L674" s="26"/>
    </row>
    <row r="675">
      <c r="A675" s="35"/>
      <c r="B675" s="35"/>
      <c r="G675" s="25"/>
      <c r="L675" s="26"/>
    </row>
    <row r="676">
      <c r="A676" s="35"/>
      <c r="B676" s="35"/>
      <c r="G676" s="25"/>
      <c r="L676" s="26"/>
    </row>
    <row r="677">
      <c r="A677" s="35"/>
      <c r="B677" s="35"/>
      <c r="G677" s="25"/>
      <c r="L677" s="26"/>
    </row>
    <row r="678">
      <c r="A678" s="35"/>
      <c r="B678" s="35"/>
      <c r="G678" s="25"/>
      <c r="L678" s="26"/>
    </row>
    <row r="679">
      <c r="A679" s="35"/>
      <c r="B679" s="35"/>
      <c r="G679" s="25"/>
      <c r="L679" s="26"/>
    </row>
    <row r="680">
      <c r="A680" s="35"/>
      <c r="B680" s="35"/>
      <c r="G680" s="25"/>
      <c r="L680" s="26"/>
    </row>
    <row r="681">
      <c r="A681" s="35"/>
      <c r="B681" s="35"/>
      <c r="G681" s="25"/>
      <c r="L681" s="26"/>
    </row>
    <row r="682">
      <c r="A682" s="35"/>
      <c r="B682" s="35"/>
      <c r="G682" s="25"/>
      <c r="L682" s="26"/>
    </row>
    <row r="683">
      <c r="A683" s="35"/>
      <c r="B683" s="35"/>
      <c r="G683" s="25"/>
      <c r="L683" s="26"/>
    </row>
    <row r="684">
      <c r="A684" s="35"/>
      <c r="B684" s="35"/>
      <c r="G684" s="25"/>
      <c r="L684" s="26"/>
    </row>
    <row r="685">
      <c r="A685" s="35"/>
      <c r="B685" s="35"/>
      <c r="G685" s="25"/>
      <c r="L685" s="26"/>
    </row>
    <row r="686">
      <c r="A686" s="35"/>
      <c r="B686" s="35"/>
      <c r="G686" s="25"/>
      <c r="L686" s="26"/>
    </row>
    <row r="687">
      <c r="A687" s="35"/>
      <c r="B687" s="35"/>
      <c r="G687" s="25"/>
      <c r="L687" s="26"/>
    </row>
    <row r="688">
      <c r="A688" s="35"/>
      <c r="B688" s="35"/>
      <c r="G688" s="25"/>
      <c r="L688" s="26"/>
    </row>
    <row r="689">
      <c r="A689" s="35"/>
      <c r="B689" s="35"/>
      <c r="G689" s="25"/>
      <c r="L689" s="26"/>
    </row>
    <row r="690">
      <c r="A690" s="35"/>
      <c r="B690" s="35"/>
      <c r="G690" s="25"/>
      <c r="L690" s="26"/>
    </row>
    <row r="691">
      <c r="A691" s="35"/>
      <c r="B691" s="35"/>
      <c r="G691" s="25"/>
      <c r="L691" s="26"/>
    </row>
    <row r="692">
      <c r="A692" s="35"/>
      <c r="B692" s="35"/>
      <c r="G692" s="25"/>
      <c r="L692" s="26"/>
    </row>
    <row r="693">
      <c r="A693" s="35"/>
      <c r="B693" s="35"/>
      <c r="G693" s="25"/>
      <c r="L693" s="26"/>
    </row>
    <row r="694">
      <c r="A694" s="35"/>
      <c r="B694" s="35"/>
      <c r="G694" s="25"/>
      <c r="L694" s="26"/>
    </row>
    <row r="695">
      <c r="A695" s="35"/>
      <c r="B695" s="35"/>
      <c r="G695" s="25"/>
      <c r="L695" s="26"/>
    </row>
    <row r="696">
      <c r="A696" s="35"/>
      <c r="B696" s="35"/>
      <c r="G696" s="25"/>
      <c r="L696" s="26"/>
    </row>
    <row r="697">
      <c r="A697" s="35"/>
      <c r="B697" s="35"/>
      <c r="G697" s="25"/>
      <c r="L697" s="26"/>
    </row>
    <row r="698">
      <c r="A698" s="35"/>
      <c r="B698" s="35"/>
      <c r="G698" s="25"/>
      <c r="L698" s="26"/>
    </row>
    <row r="699">
      <c r="A699" s="35"/>
      <c r="B699" s="35"/>
      <c r="G699" s="25"/>
      <c r="L699" s="26"/>
    </row>
    <row r="700">
      <c r="A700" s="35"/>
      <c r="B700" s="35"/>
      <c r="G700" s="25"/>
      <c r="L700" s="26"/>
    </row>
    <row r="701">
      <c r="A701" s="35"/>
      <c r="B701" s="35"/>
      <c r="G701" s="25"/>
      <c r="L701" s="26"/>
    </row>
    <row r="702">
      <c r="A702" s="35"/>
      <c r="B702" s="35"/>
      <c r="G702" s="25"/>
      <c r="L702" s="26"/>
    </row>
    <row r="703">
      <c r="A703" s="35"/>
      <c r="B703" s="35"/>
      <c r="G703" s="25"/>
      <c r="L703" s="26"/>
    </row>
    <row r="704">
      <c r="A704" s="35"/>
      <c r="B704" s="35"/>
      <c r="G704" s="25"/>
      <c r="L704" s="26"/>
    </row>
    <row r="705">
      <c r="A705" s="35"/>
      <c r="B705" s="35"/>
      <c r="G705" s="25"/>
      <c r="L705" s="26"/>
    </row>
    <row r="706">
      <c r="A706" s="35"/>
      <c r="B706" s="35"/>
      <c r="G706" s="25"/>
      <c r="L706" s="26"/>
    </row>
    <row r="707">
      <c r="A707" s="35"/>
      <c r="B707" s="35"/>
      <c r="G707" s="25"/>
      <c r="L707" s="26"/>
    </row>
    <row r="708">
      <c r="A708" s="35"/>
      <c r="B708" s="35"/>
      <c r="G708" s="25"/>
      <c r="L708" s="26"/>
    </row>
    <row r="709">
      <c r="A709" s="35"/>
      <c r="B709" s="35"/>
      <c r="G709" s="25"/>
      <c r="L709" s="26"/>
    </row>
    <row r="710">
      <c r="A710" s="35"/>
      <c r="B710" s="35"/>
      <c r="G710" s="25"/>
      <c r="L710" s="26"/>
    </row>
    <row r="711">
      <c r="A711" s="35"/>
      <c r="B711" s="35"/>
      <c r="G711" s="25"/>
      <c r="L711" s="26"/>
    </row>
    <row r="712">
      <c r="A712" s="35"/>
      <c r="B712" s="35"/>
      <c r="G712" s="25"/>
      <c r="L712" s="26"/>
    </row>
    <row r="713">
      <c r="A713" s="35"/>
      <c r="B713" s="35"/>
      <c r="G713" s="25"/>
      <c r="L713" s="26"/>
    </row>
    <row r="714">
      <c r="A714" s="35"/>
      <c r="B714" s="35"/>
      <c r="G714" s="25"/>
      <c r="L714" s="26"/>
    </row>
    <row r="715">
      <c r="A715" s="35"/>
      <c r="B715" s="35"/>
      <c r="G715" s="25"/>
      <c r="L715" s="26"/>
    </row>
    <row r="716">
      <c r="A716" s="35"/>
      <c r="B716" s="35"/>
      <c r="G716" s="25"/>
      <c r="L716" s="26"/>
    </row>
    <row r="717">
      <c r="A717" s="35"/>
      <c r="B717" s="35"/>
      <c r="G717" s="25"/>
      <c r="L717" s="26"/>
    </row>
    <row r="718">
      <c r="A718" s="35"/>
      <c r="B718" s="35"/>
      <c r="G718" s="25"/>
      <c r="L718" s="26"/>
    </row>
    <row r="719">
      <c r="A719" s="35"/>
      <c r="B719" s="35"/>
      <c r="G719" s="25"/>
      <c r="L719" s="26"/>
    </row>
    <row r="720">
      <c r="A720" s="35"/>
      <c r="B720" s="35"/>
      <c r="G720" s="25"/>
      <c r="L720" s="26"/>
    </row>
    <row r="721">
      <c r="A721" s="35"/>
      <c r="B721" s="35"/>
      <c r="G721" s="25"/>
      <c r="L721" s="26"/>
    </row>
    <row r="722">
      <c r="A722" s="35"/>
      <c r="B722" s="35"/>
      <c r="G722" s="25"/>
      <c r="L722" s="26"/>
    </row>
    <row r="723">
      <c r="A723" s="35"/>
      <c r="B723" s="35"/>
      <c r="G723" s="25"/>
      <c r="L723" s="26"/>
    </row>
    <row r="724">
      <c r="A724" s="35"/>
      <c r="B724" s="35"/>
      <c r="G724" s="25"/>
      <c r="L724" s="26"/>
    </row>
    <row r="725">
      <c r="A725" s="35"/>
      <c r="B725" s="35"/>
      <c r="G725" s="25"/>
      <c r="L725" s="26"/>
    </row>
    <row r="726">
      <c r="A726" s="35"/>
      <c r="B726" s="35"/>
      <c r="G726" s="25"/>
      <c r="L726" s="26"/>
    </row>
    <row r="727">
      <c r="A727" s="35"/>
      <c r="B727" s="35"/>
      <c r="G727" s="25"/>
      <c r="L727" s="26"/>
    </row>
    <row r="728">
      <c r="A728" s="35"/>
      <c r="B728" s="35"/>
      <c r="G728" s="25"/>
      <c r="L728" s="26"/>
    </row>
    <row r="729">
      <c r="A729" s="35"/>
      <c r="B729" s="35"/>
      <c r="G729" s="25"/>
      <c r="L729" s="26"/>
    </row>
    <row r="730">
      <c r="A730" s="35"/>
      <c r="B730" s="35"/>
      <c r="G730" s="25"/>
      <c r="L730" s="26"/>
    </row>
    <row r="731">
      <c r="A731" s="35"/>
      <c r="B731" s="35"/>
      <c r="G731" s="25"/>
      <c r="L731" s="26"/>
    </row>
    <row r="732">
      <c r="A732" s="35"/>
      <c r="B732" s="35"/>
      <c r="G732" s="25"/>
      <c r="L732" s="26"/>
    </row>
    <row r="733">
      <c r="A733" s="35"/>
      <c r="B733" s="35"/>
      <c r="G733" s="25"/>
      <c r="L733" s="26"/>
    </row>
    <row r="734">
      <c r="A734" s="35"/>
      <c r="B734" s="35"/>
      <c r="G734" s="25"/>
      <c r="L734" s="26"/>
    </row>
    <row r="735">
      <c r="A735" s="35"/>
      <c r="B735" s="35"/>
      <c r="G735" s="25"/>
      <c r="L735" s="26"/>
    </row>
    <row r="736">
      <c r="A736" s="35"/>
      <c r="B736" s="35"/>
      <c r="G736" s="25"/>
      <c r="L736" s="26"/>
    </row>
    <row r="737">
      <c r="A737" s="35"/>
      <c r="B737" s="35"/>
      <c r="G737" s="25"/>
      <c r="L737" s="26"/>
    </row>
    <row r="738">
      <c r="A738" s="35"/>
      <c r="B738" s="35"/>
      <c r="G738" s="25"/>
      <c r="L738" s="26"/>
    </row>
    <row r="739">
      <c r="A739" s="35"/>
      <c r="B739" s="35"/>
      <c r="G739" s="25"/>
      <c r="L739" s="26"/>
    </row>
    <row r="740">
      <c r="A740" s="35"/>
      <c r="B740" s="35"/>
      <c r="G740" s="25"/>
      <c r="L740" s="26"/>
    </row>
    <row r="741">
      <c r="A741" s="35"/>
      <c r="B741" s="35"/>
      <c r="G741" s="25"/>
      <c r="L741" s="26"/>
    </row>
    <row r="742">
      <c r="A742" s="35"/>
      <c r="B742" s="35"/>
      <c r="G742" s="25"/>
      <c r="L742" s="26"/>
    </row>
    <row r="743">
      <c r="A743" s="35"/>
      <c r="B743" s="35"/>
      <c r="G743" s="25"/>
      <c r="L743" s="26"/>
    </row>
    <row r="744">
      <c r="A744" s="35"/>
      <c r="B744" s="35"/>
      <c r="G744" s="25"/>
      <c r="L744" s="26"/>
    </row>
    <row r="745">
      <c r="A745" s="35"/>
      <c r="B745" s="35"/>
      <c r="G745" s="25"/>
      <c r="L745" s="26"/>
    </row>
    <row r="746">
      <c r="A746" s="35"/>
      <c r="B746" s="35"/>
      <c r="G746" s="25"/>
      <c r="L746" s="26"/>
    </row>
    <row r="747">
      <c r="A747" s="35"/>
      <c r="B747" s="35"/>
      <c r="G747" s="25"/>
      <c r="L747" s="26"/>
    </row>
    <row r="748">
      <c r="A748" s="35"/>
      <c r="B748" s="35"/>
      <c r="G748" s="25"/>
      <c r="L748" s="26"/>
    </row>
    <row r="749">
      <c r="A749" s="35"/>
      <c r="B749" s="35"/>
      <c r="G749" s="25"/>
      <c r="L749" s="26"/>
    </row>
    <row r="750">
      <c r="A750" s="35"/>
      <c r="B750" s="35"/>
      <c r="G750" s="25"/>
      <c r="L750" s="26"/>
    </row>
    <row r="751">
      <c r="A751" s="35"/>
      <c r="B751" s="35"/>
      <c r="G751" s="25"/>
      <c r="L751" s="26"/>
    </row>
    <row r="752">
      <c r="A752" s="35"/>
      <c r="B752" s="35"/>
      <c r="G752" s="25"/>
      <c r="L752" s="26"/>
    </row>
    <row r="753">
      <c r="A753" s="35"/>
      <c r="B753" s="35"/>
      <c r="G753" s="25"/>
      <c r="L753" s="26"/>
    </row>
    <row r="754">
      <c r="A754" s="35"/>
      <c r="B754" s="35"/>
      <c r="G754" s="25"/>
      <c r="L754" s="26"/>
    </row>
    <row r="755">
      <c r="A755" s="35"/>
      <c r="B755" s="35"/>
      <c r="G755" s="25"/>
      <c r="L755" s="26"/>
    </row>
    <row r="756">
      <c r="A756" s="35"/>
      <c r="B756" s="35"/>
      <c r="G756" s="25"/>
      <c r="L756" s="26"/>
    </row>
    <row r="757">
      <c r="A757" s="35"/>
      <c r="B757" s="35"/>
      <c r="G757" s="25"/>
      <c r="L757" s="26"/>
    </row>
    <row r="758">
      <c r="A758" s="35"/>
      <c r="B758" s="35"/>
      <c r="G758" s="25"/>
      <c r="L758" s="26"/>
    </row>
    <row r="759">
      <c r="A759" s="35"/>
      <c r="B759" s="35"/>
      <c r="G759" s="25"/>
      <c r="L759" s="26"/>
    </row>
    <row r="760">
      <c r="A760" s="35"/>
      <c r="B760" s="35"/>
      <c r="G760" s="25"/>
      <c r="L760" s="26"/>
    </row>
    <row r="761">
      <c r="A761" s="35"/>
      <c r="B761" s="35"/>
      <c r="G761" s="25"/>
      <c r="L761" s="26"/>
    </row>
    <row r="762">
      <c r="A762" s="35"/>
      <c r="B762" s="35"/>
      <c r="G762" s="25"/>
      <c r="L762" s="26"/>
    </row>
    <row r="763">
      <c r="A763" s="35"/>
      <c r="B763" s="35"/>
      <c r="G763" s="25"/>
      <c r="L763" s="26"/>
    </row>
    <row r="764">
      <c r="A764" s="35"/>
      <c r="B764" s="35"/>
      <c r="G764" s="25"/>
      <c r="L764" s="26"/>
    </row>
    <row r="765">
      <c r="A765" s="35"/>
      <c r="B765" s="35"/>
      <c r="G765" s="25"/>
      <c r="L765" s="26"/>
    </row>
    <row r="766">
      <c r="A766" s="35"/>
      <c r="B766" s="35"/>
      <c r="G766" s="25"/>
      <c r="L766" s="26"/>
    </row>
    <row r="767">
      <c r="A767" s="35"/>
      <c r="B767" s="35"/>
      <c r="G767" s="25"/>
      <c r="L767" s="26"/>
    </row>
    <row r="768">
      <c r="A768" s="35"/>
      <c r="B768" s="35"/>
      <c r="G768" s="25"/>
      <c r="L768" s="26"/>
    </row>
    <row r="769">
      <c r="A769" s="35"/>
      <c r="B769" s="35"/>
      <c r="G769" s="25"/>
      <c r="L769" s="26"/>
    </row>
    <row r="770">
      <c r="A770" s="35"/>
      <c r="B770" s="35"/>
      <c r="G770" s="25"/>
      <c r="L770" s="26"/>
    </row>
    <row r="771">
      <c r="A771" s="35"/>
      <c r="B771" s="35"/>
      <c r="G771" s="25"/>
      <c r="L771" s="26"/>
    </row>
    <row r="772">
      <c r="A772" s="35"/>
      <c r="B772" s="35"/>
      <c r="G772" s="25"/>
      <c r="L772" s="26"/>
    </row>
    <row r="773">
      <c r="A773" s="35"/>
      <c r="B773" s="35"/>
      <c r="G773" s="25"/>
      <c r="L773" s="26"/>
    </row>
    <row r="774">
      <c r="A774" s="35"/>
      <c r="B774" s="35"/>
      <c r="G774" s="25"/>
      <c r="L774" s="26"/>
    </row>
    <row r="775">
      <c r="A775" s="35"/>
      <c r="B775" s="35"/>
      <c r="G775" s="25"/>
      <c r="L775" s="26"/>
    </row>
    <row r="776">
      <c r="A776" s="35"/>
      <c r="B776" s="35"/>
      <c r="G776" s="25"/>
      <c r="L776" s="26"/>
    </row>
    <row r="777">
      <c r="A777" s="35"/>
      <c r="B777" s="35"/>
      <c r="G777" s="25"/>
      <c r="L777" s="26"/>
    </row>
    <row r="778">
      <c r="A778" s="35"/>
      <c r="B778" s="35"/>
      <c r="G778" s="25"/>
      <c r="L778" s="26"/>
    </row>
    <row r="779">
      <c r="A779" s="35"/>
      <c r="B779" s="35"/>
      <c r="G779" s="25"/>
      <c r="L779" s="26"/>
    </row>
    <row r="780">
      <c r="A780" s="35"/>
      <c r="B780" s="35"/>
      <c r="G780" s="25"/>
      <c r="L780" s="26"/>
    </row>
    <row r="781">
      <c r="A781" s="35"/>
      <c r="B781" s="35"/>
      <c r="G781" s="25"/>
      <c r="L781" s="26"/>
    </row>
    <row r="782">
      <c r="A782" s="35"/>
      <c r="B782" s="35"/>
      <c r="G782" s="25"/>
      <c r="L782" s="26"/>
    </row>
    <row r="783">
      <c r="A783" s="35"/>
      <c r="B783" s="35"/>
      <c r="G783" s="25"/>
      <c r="L783" s="26"/>
    </row>
    <row r="784">
      <c r="A784" s="35"/>
      <c r="B784" s="35"/>
      <c r="G784" s="25"/>
      <c r="L784" s="26"/>
    </row>
    <row r="785">
      <c r="A785" s="35"/>
      <c r="B785" s="35"/>
      <c r="G785" s="25"/>
      <c r="L785" s="26"/>
    </row>
    <row r="786">
      <c r="A786" s="35"/>
      <c r="B786" s="35"/>
      <c r="G786" s="25"/>
      <c r="L786" s="26"/>
    </row>
    <row r="787">
      <c r="A787" s="35"/>
      <c r="B787" s="35"/>
      <c r="G787" s="25"/>
      <c r="L787" s="26"/>
    </row>
    <row r="788">
      <c r="A788" s="35"/>
      <c r="B788" s="35"/>
      <c r="G788" s="25"/>
      <c r="L788" s="26"/>
    </row>
    <row r="789">
      <c r="A789" s="35"/>
      <c r="B789" s="35"/>
      <c r="G789" s="25"/>
      <c r="L789" s="26"/>
    </row>
    <row r="790">
      <c r="A790" s="35"/>
      <c r="B790" s="35"/>
      <c r="G790" s="25"/>
      <c r="L790" s="26"/>
    </row>
    <row r="791">
      <c r="A791" s="35"/>
      <c r="B791" s="35"/>
      <c r="G791" s="25"/>
      <c r="L791" s="26"/>
    </row>
    <row r="792">
      <c r="A792" s="35"/>
      <c r="B792" s="35"/>
      <c r="G792" s="25"/>
      <c r="L792" s="26"/>
    </row>
    <row r="793">
      <c r="A793" s="35"/>
      <c r="B793" s="35"/>
      <c r="G793" s="25"/>
      <c r="L793" s="26"/>
    </row>
    <row r="794">
      <c r="A794" s="35"/>
      <c r="B794" s="35"/>
      <c r="G794" s="25"/>
      <c r="L794" s="26"/>
    </row>
    <row r="795">
      <c r="A795" s="35"/>
      <c r="B795" s="35"/>
      <c r="G795" s="25"/>
      <c r="L795" s="26"/>
    </row>
    <row r="796">
      <c r="A796" s="35"/>
      <c r="B796" s="35"/>
      <c r="G796" s="25"/>
      <c r="L796" s="26"/>
    </row>
    <row r="797">
      <c r="A797" s="35"/>
      <c r="B797" s="35"/>
      <c r="G797" s="25"/>
      <c r="L797" s="26"/>
    </row>
    <row r="798">
      <c r="A798" s="35"/>
      <c r="B798" s="35"/>
      <c r="G798" s="25"/>
      <c r="L798" s="26"/>
    </row>
    <row r="799">
      <c r="A799" s="35"/>
      <c r="B799" s="35"/>
      <c r="G799" s="25"/>
      <c r="L799" s="26"/>
    </row>
    <row r="800">
      <c r="A800" s="35"/>
      <c r="B800" s="35"/>
      <c r="G800" s="25"/>
      <c r="L800" s="26"/>
    </row>
    <row r="801">
      <c r="A801" s="35"/>
      <c r="B801" s="35"/>
      <c r="G801" s="25"/>
      <c r="L801" s="26"/>
    </row>
    <row r="802">
      <c r="A802" s="35"/>
      <c r="B802" s="35"/>
      <c r="G802" s="25"/>
      <c r="L802" s="26"/>
    </row>
    <row r="803">
      <c r="A803" s="35"/>
      <c r="B803" s="35"/>
      <c r="G803" s="25"/>
      <c r="L803" s="26"/>
    </row>
    <row r="804">
      <c r="A804" s="35"/>
      <c r="B804" s="35"/>
      <c r="G804" s="25"/>
      <c r="L804" s="26"/>
    </row>
    <row r="805">
      <c r="A805" s="35"/>
      <c r="B805" s="35"/>
      <c r="G805" s="25"/>
      <c r="L805" s="26"/>
    </row>
    <row r="806">
      <c r="A806" s="35"/>
      <c r="B806" s="35"/>
      <c r="G806" s="25"/>
      <c r="L806" s="26"/>
    </row>
    <row r="807">
      <c r="A807" s="35"/>
      <c r="B807" s="35"/>
      <c r="G807" s="25"/>
      <c r="L807" s="26"/>
    </row>
    <row r="808">
      <c r="A808" s="35"/>
      <c r="B808" s="35"/>
      <c r="G808" s="25"/>
      <c r="L808" s="26"/>
    </row>
    <row r="809">
      <c r="A809" s="35"/>
      <c r="B809" s="35"/>
      <c r="G809" s="25"/>
      <c r="L809" s="26"/>
    </row>
    <row r="810">
      <c r="A810" s="35"/>
      <c r="B810" s="35"/>
      <c r="G810" s="25"/>
      <c r="L810" s="26"/>
    </row>
    <row r="811">
      <c r="A811" s="35"/>
      <c r="B811" s="35"/>
      <c r="G811" s="25"/>
      <c r="L811" s="26"/>
    </row>
    <row r="812">
      <c r="A812" s="35"/>
      <c r="B812" s="35"/>
      <c r="G812" s="25"/>
      <c r="L812" s="26"/>
    </row>
    <row r="813">
      <c r="A813" s="35"/>
      <c r="B813" s="35"/>
      <c r="G813" s="25"/>
      <c r="L813" s="26"/>
    </row>
    <row r="814">
      <c r="A814" s="35"/>
      <c r="B814" s="35"/>
      <c r="G814" s="25"/>
      <c r="L814" s="26"/>
    </row>
    <row r="815">
      <c r="A815" s="35"/>
      <c r="B815" s="35"/>
      <c r="G815" s="25"/>
      <c r="L815" s="26"/>
    </row>
    <row r="816">
      <c r="A816" s="35"/>
      <c r="B816" s="35"/>
      <c r="G816" s="25"/>
      <c r="L816" s="26"/>
    </row>
    <row r="817">
      <c r="A817" s="35"/>
      <c r="B817" s="35"/>
      <c r="G817" s="25"/>
      <c r="L817" s="26"/>
    </row>
    <row r="818">
      <c r="A818" s="35"/>
      <c r="B818" s="35"/>
      <c r="G818" s="25"/>
      <c r="L818" s="26"/>
    </row>
    <row r="819">
      <c r="A819" s="35"/>
      <c r="B819" s="35"/>
      <c r="G819" s="25"/>
      <c r="L819" s="26"/>
    </row>
    <row r="820">
      <c r="A820" s="35"/>
      <c r="B820" s="35"/>
      <c r="G820" s="25"/>
      <c r="L820" s="26"/>
    </row>
    <row r="821">
      <c r="A821" s="35"/>
      <c r="B821" s="35"/>
      <c r="G821" s="25"/>
      <c r="L821" s="26"/>
    </row>
    <row r="822">
      <c r="A822" s="35"/>
      <c r="B822" s="35"/>
      <c r="G822" s="25"/>
      <c r="L822" s="26"/>
    </row>
    <row r="823">
      <c r="A823" s="35"/>
      <c r="B823" s="35"/>
      <c r="G823" s="25"/>
      <c r="L823" s="26"/>
    </row>
    <row r="824">
      <c r="A824" s="35"/>
      <c r="B824" s="35"/>
      <c r="G824" s="25"/>
      <c r="L824" s="26"/>
    </row>
    <row r="825">
      <c r="A825" s="35"/>
      <c r="B825" s="35"/>
      <c r="G825" s="25"/>
      <c r="L825" s="26"/>
    </row>
    <row r="826">
      <c r="A826" s="35"/>
      <c r="B826" s="35"/>
      <c r="G826" s="25"/>
      <c r="L826" s="26"/>
    </row>
    <row r="827">
      <c r="A827" s="35"/>
      <c r="B827" s="35"/>
      <c r="G827" s="25"/>
      <c r="L827" s="26"/>
    </row>
    <row r="828">
      <c r="A828" s="35"/>
      <c r="B828" s="35"/>
      <c r="G828" s="25"/>
      <c r="L828" s="26"/>
    </row>
    <row r="829">
      <c r="A829" s="35"/>
      <c r="B829" s="35"/>
      <c r="G829" s="25"/>
      <c r="L829" s="26"/>
    </row>
    <row r="830">
      <c r="A830" s="35"/>
      <c r="B830" s="35"/>
      <c r="G830" s="25"/>
      <c r="L830" s="26"/>
    </row>
    <row r="831">
      <c r="A831" s="35"/>
      <c r="B831" s="35"/>
      <c r="G831" s="25"/>
      <c r="L831" s="26"/>
    </row>
    <row r="832">
      <c r="A832" s="35"/>
      <c r="B832" s="35"/>
      <c r="G832" s="25"/>
      <c r="L832" s="26"/>
    </row>
    <row r="833">
      <c r="A833" s="35"/>
      <c r="B833" s="35"/>
      <c r="G833" s="25"/>
      <c r="L833" s="26"/>
    </row>
    <row r="834">
      <c r="A834" s="35"/>
      <c r="B834" s="35"/>
      <c r="G834" s="25"/>
      <c r="L834" s="26"/>
    </row>
    <row r="835">
      <c r="A835" s="35"/>
      <c r="B835" s="35"/>
      <c r="G835" s="25"/>
      <c r="L835" s="26"/>
    </row>
    <row r="836">
      <c r="A836" s="35"/>
      <c r="B836" s="35"/>
      <c r="G836" s="25"/>
      <c r="L836" s="26"/>
    </row>
    <row r="837">
      <c r="A837" s="35"/>
      <c r="B837" s="35"/>
      <c r="G837" s="25"/>
      <c r="L837" s="26"/>
    </row>
    <row r="838">
      <c r="A838" s="35"/>
      <c r="B838" s="35"/>
      <c r="G838" s="25"/>
      <c r="L838" s="26"/>
    </row>
    <row r="839">
      <c r="A839" s="35"/>
      <c r="B839" s="35"/>
      <c r="G839" s="25"/>
      <c r="L839" s="26"/>
    </row>
    <row r="840">
      <c r="A840" s="35"/>
      <c r="B840" s="35"/>
      <c r="G840" s="25"/>
      <c r="L840" s="26"/>
    </row>
    <row r="841">
      <c r="A841" s="35"/>
      <c r="B841" s="35"/>
      <c r="G841" s="25"/>
      <c r="L841" s="26"/>
    </row>
    <row r="842">
      <c r="A842" s="35"/>
      <c r="B842" s="35"/>
      <c r="G842" s="25"/>
      <c r="L842" s="26"/>
    </row>
    <row r="843">
      <c r="A843" s="35"/>
      <c r="B843" s="35"/>
      <c r="G843" s="25"/>
      <c r="L843" s="26"/>
    </row>
    <row r="844">
      <c r="A844" s="35"/>
      <c r="B844" s="35"/>
      <c r="G844" s="25"/>
      <c r="L844" s="26"/>
    </row>
    <row r="845">
      <c r="A845" s="35"/>
      <c r="B845" s="35"/>
      <c r="G845" s="25"/>
      <c r="L845" s="26"/>
    </row>
    <row r="846">
      <c r="A846" s="35"/>
      <c r="B846" s="35"/>
      <c r="G846" s="25"/>
      <c r="L846" s="26"/>
    </row>
    <row r="847">
      <c r="A847" s="35"/>
      <c r="B847" s="35"/>
      <c r="G847" s="25"/>
      <c r="L847" s="26"/>
    </row>
    <row r="848">
      <c r="A848" s="35"/>
      <c r="B848" s="35"/>
      <c r="G848" s="25"/>
      <c r="L848" s="26"/>
    </row>
    <row r="849">
      <c r="A849" s="35"/>
      <c r="B849" s="35"/>
      <c r="G849" s="25"/>
      <c r="L849" s="26"/>
    </row>
    <row r="850">
      <c r="A850" s="35"/>
      <c r="B850" s="35"/>
      <c r="G850" s="25"/>
      <c r="L850" s="26"/>
    </row>
    <row r="851">
      <c r="A851" s="35"/>
      <c r="B851" s="35"/>
      <c r="G851" s="25"/>
      <c r="L851" s="26"/>
    </row>
    <row r="852">
      <c r="A852" s="35"/>
      <c r="B852" s="35"/>
      <c r="G852" s="25"/>
      <c r="L852" s="26"/>
    </row>
    <row r="853">
      <c r="A853" s="35"/>
      <c r="B853" s="35"/>
      <c r="G853" s="25"/>
      <c r="L853" s="26"/>
    </row>
    <row r="854">
      <c r="A854" s="35"/>
      <c r="B854" s="35"/>
      <c r="G854" s="25"/>
      <c r="L854" s="26"/>
    </row>
    <row r="855">
      <c r="A855" s="35"/>
      <c r="B855" s="35"/>
      <c r="G855" s="25"/>
      <c r="L855" s="26"/>
    </row>
    <row r="856">
      <c r="A856" s="35"/>
      <c r="B856" s="35"/>
      <c r="G856" s="25"/>
      <c r="L856" s="26"/>
    </row>
    <row r="857">
      <c r="A857" s="35"/>
      <c r="B857" s="35"/>
      <c r="G857" s="25"/>
      <c r="L857" s="26"/>
    </row>
    <row r="858">
      <c r="A858" s="35"/>
      <c r="B858" s="35"/>
      <c r="G858" s="25"/>
      <c r="L858" s="26"/>
    </row>
    <row r="859">
      <c r="A859" s="35"/>
      <c r="B859" s="35"/>
      <c r="G859" s="25"/>
      <c r="L859" s="26"/>
    </row>
    <row r="860">
      <c r="A860" s="35"/>
      <c r="B860" s="35"/>
      <c r="G860" s="25"/>
      <c r="L860" s="26"/>
    </row>
    <row r="861">
      <c r="A861" s="35"/>
      <c r="B861" s="35"/>
      <c r="G861" s="25"/>
      <c r="L861" s="26"/>
    </row>
    <row r="862">
      <c r="A862" s="35"/>
      <c r="B862" s="35"/>
      <c r="G862" s="25"/>
      <c r="L862" s="26"/>
    </row>
    <row r="863">
      <c r="A863" s="35"/>
      <c r="B863" s="35"/>
      <c r="G863" s="25"/>
      <c r="L863" s="26"/>
    </row>
    <row r="864">
      <c r="A864" s="35"/>
      <c r="B864" s="35"/>
      <c r="G864" s="25"/>
      <c r="L864" s="26"/>
    </row>
    <row r="865">
      <c r="A865" s="35"/>
      <c r="B865" s="35"/>
      <c r="G865" s="25"/>
      <c r="L865" s="26"/>
    </row>
    <row r="866">
      <c r="A866" s="35"/>
      <c r="B866" s="35"/>
      <c r="G866" s="25"/>
      <c r="L866" s="26"/>
    </row>
    <row r="867">
      <c r="A867" s="35"/>
      <c r="B867" s="35"/>
      <c r="G867" s="25"/>
      <c r="L867" s="26"/>
    </row>
    <row r="868">
      <c r="A868" s="35"/>
      <c r="B868" s="35"/>
      <c r="G868" s="25"/>
      <c r="L868" s="26"/>
    </row>
    <row r="869">
      <c r="A869" s="35"/>
      <c r="B869" s="35"/>
      <c r="G869" s="25"/>
      <c r="L869" s="26"/>
    </row>
    <row r="870">
      <c r="A870" s="35"/>
      <c r="B870" s="35"/>
      <c r="G870" s="25"/>
      <c r="L870" s="26"/>
    </row>
    <row r="871">
      <c r="A871" s="35"/>
      <c r="B871" s="35"/>
      <c r="G871" s="25"/>
      <c r="L871" s="26"/>
    </row>
    <row r="872">
      <c r="A872" s="35"/>
      <c r="B872" s="35"/>
      <c r="G872" s="25"/>
      <c r="L872" s="26"/>
    </row>
    <row r="873">
      <c r="A873" s="35"/>
      <c r="B873" s="35"/>
      <c r="G873" s="25"/>
      <c r="L873" s="26"/>
    </row>
    <row r="874">
      <c r="A874" s="35"/>
      <c r="B874" s="35"/>
      <c r="G874" s="25"/>
      <c r="L874" s="26"/>
    </row>
    <row r="875">
      <c r="A875" s="35"/>
      <c r="B875" s="35"/>
      <c r="G875" s="25"/>
      <c r="L875" s="26"/>
    </row>
    <row r="876">
      <c r="A876" s="35"/>
      <c r="B876" s="35"/>
      <c r="G876" s="25"/>
      <c r="L876" s="26"/>
    </row>
    <row r="877">
      <c r="A877" s="35"/>
      <c r="B877" s="35"/>
      <c r="G877" s="25"/>
      <c r="L877" s="26"/>
    </row>
    <row r="878">
      <c r="A878" s="35"/>
      <c r="B878" s="35"/>
      <c r="G878" s="25"/>
      <c r="L878" s="26"/>
    </row>
    <row r="879">
      <c r="A879" s="35"/>
      <c r="B879" s="35"/>
      <c r="G879" s="25"/>
      <c r="L879" s="26"/>
    </row>
    <row r="880">
      <c r="A880" s="35"/>
      <c r="B880" s="35"/>
      <c r="G880" s="25"/>
      <c r="L880" s="26"/>
    </row>
    <row r="881">
      <c r="A881" s="35"/>
      <c r="B881" s="35"/>
      <c r="G881" s="25"/>
      <c r="L881" s="26"/>
    </row>
    <row r="882">
      <c r="A882" s="35"/>
      <c r="B882" s="35"/>
      <c r="G882" s="25"/>
      <c r="L882" s="26"/>
    </row>
    <row r="883">
      <c r="A883" s="35"/>
      <c r="B883" s="35"/>
      <c r="G883" s="25"/>
      <c r="L883" s="26"/>
    </row>
    <row r="884">
      <c r="A884" s="35"/>
      <c r="B884" s="35"/>
      <c r="G884" s="25"/>
      <c r="L884" s="26"/>
    </row>
    <row r="885">
      <c r="A885" s="35"/>
      <c r="B885" s="35"/>
      <c r="G885" s="25"/>
      <c r="L885" s="26"/>
    </row>
    <row r="886">
      <c r="A886" s="35"/>
      <c r="B886" s="35"/>
      <c r="G886" s="25"/>
      <c r="L886" s="26"/>
    </row>
    <row r="887">
      <c r="A887" s="35"/>
      <c r="B887" s="35"/>
      <c r="G887" s="25"/>
      <c r="L887" s="26"/>
    </row>
    <row r="888">
      <c r="A888" s="35"/>
      <c r="B888" s="35"/>
      <c r="G888" s="25"/>
      <c r="L888" s="26"/>
    </row>
    <row r="889">
      <c r="A889" s="35"/>
      <c r="B889" s="35"/>
      <c r="G889" s="25"/>
      <c r="L889" s="26"/>
    </row>
    <row r="890">
      <c r="A890" s="35"/>
      <c r="B890" s="35"/>
      <c r="G890" s="25"/>
      <c r="L890" s="26"/>
    </row>
    <row r="891">
      <c r="A891" s="35"/>
      <c r="B891" s="35"/>
      <c r="G891" s="25"/>
      <c r="L891" s="26"/>
    </row>
    <row r="892">
      <c r="A892" s="35"/>
      <c r="B892" s="35"/>
      <c r="G892" s="25"/>
      <c r="L892" s="26"/>
    </row>
    <row r="893">
      <c r="A893" s="35"/>
      <c r="B893" s="35"/>
      <c r="G893" s="25"/>
      <c r="L893" s="26"/>
    </row>
    <row r="894">
      <c r="A894" s="35"/>
      <c r="B894" s="35"/>
      <c r="G894" s="25"/>
      <c r="L894" s="26"/>
    </row>
    <row r="895">
      <c r="A895" s="35"/>
      <c r="B895" s="35"/>
      <c r="G895" s="25"/>
      <c r="L895" s="26"/>
    </row>
    <row r="896">
      <c r="A896" s="35"/>
      <c r="B896" s="35"/>
      <c r="G896" s="25"/>
      <c r="L896" s="26"/>
    </row>
    <row r="897">
      <c r="A897" s="35"/>
      <c r="B897" s="35"/>
      <c r="G897" s="25"/>
      <c r="L897" s="26"/>
    </row>
    <row r="898">
      <c r="A898" s="35"/>
      <c r="B898" s="35"/>
      <c r="G898" s="25"/>
      <c r="L898" s="26"/>
    </row>
    <row r="899">
      <c r="A899" s="35"/>
      <c r="B899" s="35"/>
      <c r="G899" s="25"/>
      <c r="L899" s="26"/>
    </row>
    <row r="900">
      <c r="A900" s="35"/>
      <c r="B900" s="35"/>
      <c r="G900" s="25"/>
      <c r="L900" s="26"/>
    </row>
    <row r="901">
      <c r="A901" s="35"/>
      <c r="B901" s="35"/>
      <c r="G901" s="25"/>
      <c r="L901" s="26"/>
    </row>
    <row r="902">
      <c r="A902" s="35"/>
      <c r="B902" s="35"/>
      <c r="G902" s="25"/>
      <c r="L902" s="26"/>
    </row>
    <row r="903">
      <c r="A903" s="35"/>
      <c r="B903" s="35"/>
      <c r="G903" s="25"/>
      <c r="L903" s="26"/>
    </row>
    <row r="904">
      <c r="A904" s="35"/>
      <c r="B904" s="35"/>
      <c r="G904" s="25"/>
      <c r="L904" s="26"/>
    </row>
    <row r="905">
      <c r="A905" s="35"/>
      <c r="B905" s="35"/>
      <c r="G905" s="25"/>
      <c r="L905" s="26"/>
    </row>
    <row r="906">
      <c r="A906" s="35"/>
      <c r="B906" s="35"/>
      <c r="G906" s="25"/>
      <c r="L906" s="26"/>
    </row>
    <row r="907">
      <c r="A907" s="35"/>
      <c r="B907" s="35"/>
      <c r="G907" s="25"/>
      <c r="L907" s="26"/>
    </row>
    <row r="908">
      <c r="A908" s="35"/>
      <c r="B908" s="35"/>
      <c r="G908" s="25"/>
      <c r="L908" s="26"/>
    </row>
    <row r="909">
      <c r="A909" s="35"/>
      <c r="B909" s="35"/>
      <c r="G909" s="25"/>
      <c r="L909" s="26"/>
    </row>
    <row r="910">
      <c r="A910" s="35"/>
      <c r="B910" s="35"/>
      <c r="G910" s="25"/>
      <c r="L910" s="26"/>
    </row>
    <row r="911">
      <c r="A911" s="35"/>
      <c r="B911" s="35"/>
      <c r="G911" s="25"/>
      <c r="L911" s="26"/>
    </row>
    <row r="912">
      <c r="A912" s="35"/>
      <c r="B912" s="35"/>
      <c r="G912" s="25"/>
      <c r="L912" s="26"/>
    </row>
    <row r="913">
      <c r="A913" s="35"/>
      <c r="B913" s="35"/>
      <c r="G913" s="25"/>
      <c r="L913" s="26"/>
    </row>
    <row r="914">
      <c r="A914" s="35"/>
      <c r="B914" s="35"/>
      <c r="G914" s="25"/>
      <c r="L914" s="26"/>
    </row>
    <row r="915">
      <c r="A915" s="35"/>
      <c r="B915" s="35"/>
      <c r="G915" s="25"/>
      <c r="L915" s="26"/>
    </row>
    <row r="916">
      <c r="A916" s="35"/>
      <c r="B916" s="35"/>
      <c r="G916" s="25"/>
      <c r="L916" s="26"/>
    </row>
    <row r="917">
      <c r="A917" s="35"/>
      <c r="B917" s="35"/>
      <c r="G917" s="25"/>
      <c r="L917" s="26"/>
    </row>
    <row r="918">
      <c r="A918" s="35"/>
      <c r="B918" s="35"/>
      <c r="G918" s="25"/>
      <c r="L918" s="26"/>
    </row>
    <row r="919">
      <c r="A919" s="35"/>
      <c r="B919" s="35"/>
      <c r="G919" s="25"/>
      <c r="L919" s="26"/>
    </row>
    <row r="920">
      <c r="A920" s="35"/>
      <c r="B920" s="35"/>
      <c r="G920" s="25"/>
      <c r="L920" s="26"/>
    </row>
    <row r="921">
      <c r="A921" s="35"/>
      <c r="B921" s="35"/>
      <c r="G921" s="25"/>
      <c r="L921" s="26"/>
    </row>
    <row r="922">
      <c r="A922" s="35"/>
      <c r="B922" s="35"/>
      <c r="G922" s="25"/>
      <c r="L922" s="26"/>
    </row>
    <row r="923">
      <c r="A923" s="35"/>
      <c r="B923" s="35"/>
      <c r="G923" s="25"/>
      <c r="L923" s="26"/>
    </row>
    <row r="924">
      <c r="A924" s="35"/>
      <c r="B924" s="35"/>
      <c r="G924" s="25"/>
      <c r="L924" s="26"/>
    </row>
    <row r="925">
      <c r="A925" s="35"/>
      <c r="B925" s="35"/>
      <c r="G925" s="25"/>
      <c r="L925" s="26"/>
    </row>
    <row r="926">
      <c r="A926" s="35"/>
      <c r="B926" s="35"/>
      <c r="G926" s="25"/>
      <c r="L926" s="26"/>
    </row>
    <row r="927">
      <c r="A927" s="35"/>
      <c r="B927" s="35"/>
      <c r="G927" s="25"/>
      <c r="L927" s="26"/>
    </row>
    <row r="928">
      <c r="A928" s="35"/>
      <c r="B928" s="35"/>
      <c r="G928" s="25"/>
      <c r="L928" s="26"/>
    </row>
    <row r="929">
      <c r="A929" s="35"/>
      <c r="B929" s="35"/>
      <c r="G929" s="25"/>
      <c r="L929" s="26"/>
    </row>
    <row r="930">
      <c r="A930" s="35"/>
      <c r="B930" s="35"/>
      <c r="G930" s="25"/>
      <c r="L930" s="26"/>
    </row>
    <row r="931">
      <c r="A931" s="35"/>
      <c r="B931" s="35"/>
      <c r="G931" s="25"/>
      <c r="L931" s="26"/>
    </row>
    <row r="932">
      <c r="A932" s="35"/>
      <c r="B932" s="35"/>
      <c r="G932" s="25"/>
      <c r="L932" s="26"/>
    </row>
    <row r="933">
      <c r="A933" s="35"/>
      <c r="B933" s="35"/>
      <c r="G933" s="25"/>
      <c r="L933" s="26"/>
    </row>
    <row r="934">
      <c r="A934" s="35"/>
      <c r="B934" s="35"/>
      <c r="G934" s="25"/>
      <c r="L934" s="26"/>
    </row>
    <row r="935">
      <c r="A935" s="35"/>
      <c r="B935" s="35"/>
      <c r="G935" s="25"/>
      <c r="L935" s="26"/>
    </row>
    <row r="936">
      <c r="A936" s="35"/>
      <c r="B936" s="35"/>
      <c r="G936" s="25"/>
      <c r="L936" s="26"/>
    </row>
    <row r="937">
      <c r="A937" s="35"/>
      <c r="B937" s="35"/>
      <c r="G937" s="25"/>
      <c r="L937" s="26"/>
    </row>
    <row r="938">
      <c r="A938" s="35"/>
      <c r="B938" s="35"/>
      <c r="G938" s="25"/>
      <c r="L938" s="26"/>
    </row>
    <row r="939">
      <c r="A939" s="35"/>
      <c r="B939" s="35"/>
      <c r="G939" s="25"/>
      <c r="L939" s="26"/>
    </row>
    <row r="940">
      <c r="A940" s="35"/>
      <c r="B940" s="35"/>
      <c r="G940" s="25"/>
      <c r="L940" s="26"/>
    </row>
    <row r="941">
      <c r="A941" s="35"/>
      <c r="B941" s="35"/>
      <c r="G941" s="25"/>
      <c r="L941" s="26"/>
    </row>
    <row r="942">
      <c r="A942" s="35"/>
      <c r="B942" s="35"/>
      <c r="G942" s="25"/>
      <c r="L942" s="26"/>
    </row>
    <row r="943">
      <c r="A943" s="35"/>
      <c r="B943" s="35"/>
      <c r="G943" s="25"/>
      <c r="L943" s="26"/>
    </row>
    <row r="944">
      <c r="A944" s="35"/>
      <c r="B944" s="35"/>
      <c r="G944" s="25"/>
      <c r="L944" s="26"/>
    </row>
    <row r="945">
      <c r="A945" s="35"/>
      <c r="B945" s="35"/>
      <c r="G945" s="25"/>
      <c r="L945" s="26"/>
    </row>
    <row r="946">
      <c r="A946" s="35"/>
      <c r="B946" s="35"/>
      <c r="G946" s="25"/>
      <c r="L946" s="26"/>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s>
  <drawing r:id="rId49"/>
</worksheet>
</file>